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dde844b1ce59dc/Purificadora/"/>
    </mc:Choice>
  </mc:AlternateContent>
  <xr:revisionPtr revIDLastSave="403" documentId="8_{BF0156D0-0530-4DBC-BB48-D08DB1AA5DD5}" xr6:coauthVersionLast="47" xr6:coauthVersionMax="47" xr10:uidLastSave="{EF0914EF-6258-4DD6-9F29-6C8B2AC8576F}"/>
  <bookViews>
    <workbookView xWindow="-120" yWindow="-120" windowWidth="20730" windowHeight="11160" xr2:uid="{400367AD-C441-4227-A652-013066F9C0A2}"/>
  </bookViews>
  <sheets>
    <sheet name="REGISTRO VENTA" sheetId="5" r:id="rId1"/>
    <sheet name="VENTAS" sheetId="2" r:id="rId2"/>
    <sheet name="CLIENTES" sheetId="4" r:id="rId3"/>
    <sheet name="REG CLIENTE" sheetId="6" r:id="rId4"/>
  </sheets>
  <definedNames>
    <definedName name="_xlnm._FilterDatabase" localSheetId="2" hidden="1">CLIENTES!$A$2:$A$282</definedName>
    <definedName name="_xlnm._FilterDatabase" localSheetId="1" hidden="1">VENTAS!$B$1:$K$242</definedName>
    <definedName name="CLIENTES">CLIENTES!$A$1:$I$82</definedName>
    <definedName name="Nombre">CLIENTES!$A:$A</definedName>
    <definedName name="Nombres">CLIENTES!$A$2:$A$84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C5" i="5" s="1"/>
  <c r="A373" i="2"/>
  <c r="A374" i="2"/>
  <c r="A375" i="2"/>
  <c r="A376" i="2"/>
  <c r="A377" i="2"/>
  <c r="A378" i="2"/>
  <c r="A379" i="2"/>
  <c r="A380" i="2"/>
  <c r="E158" i="2"/>
  <c r="E82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157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2" i="2"/>
</calcChain>
</file>

<file path=xl/sharedStrings.xml><?xml version="1.0" encoding="utf-8"?>
<sst xmlns="http://schemas.openxmlformats.org/spreadsheetml/2006/main" count="970" uniqueCount="170">
  <si>
    <t>Cliente</t>
  </si>
  <si>
    <t>Pago</t>
  </si>
  <si>
    <t>Precio</t>
  </si>
  <si>
    <t>Calle</t>
  </si>
  <si>
    <t>Número Ext.</t>
  </si>
  <si>
    <t>Colonia</t>
  </si>
  <si>
    <t>Municipio</t>
  </si>
  <si>
    <t>Estado</t>
  </si>
  <si>
    <t>País</t>
  </si>
  <si>
    <t>Tuxtla Gutiérrez</t>
  </si>
  <si>
    <t>Chiapas</t>
  </si>
  <si>
    <t>México</t>
  </si>
  <si>
    <t>Terán</t>
  </si>
  <si>
    <t>Código Postal</t>
  </si>
  <si>
    <t xml:space="preserve">Doña? </t>
  </si>
  <si>
    <t>Hugo Albañil</t>
  </si>
  <si>
    <t xml:space="preserve">Abarrotes Daisy </t>
  </si>
  <si>
    <t>Tercera Ote. Sur</t>
  </si>
  <si>
    <t xml:space="preserve"> San José Terán</t>
  </si>
  <si>
    <t>De Higo</t>
  </si>
  <si>
    <t>Av. Tercera Sur Ote.</t>
  </si>
  <si>
    <t>San José Terán</t>
  </si>
  <si>
    <t>De la 5a Pte. Sur</t>
  </si>
  <si>
    <t>Quinta Calle Pte. Sur</t>
  </si>
  <si>
    <t>Flamingos</t>
  </si>
  <si>
    <t>Av. Tercera Nte. Pte.</t>
  </si>
  <si>
    <t>Cuarta Calle Pte. Sur</t>
  </si>
  <si>
    <t>Joyería Finozzi</t>
  </si>
  <si>
    <t>Primera Avenida Sur Pte.</t>
  </si>
  <si>
    <t>Hugo Eléctrico</t>
  </si>
  <si>
    <t>Av. Segunda Sur Pte.</t>
  </si>
  <si>
    <t>Av. Primera Nte. Pte.</t>
  </si>
  <si>
    <t xml:space="preserve">4a. Pte. Nte. </t>
  </si>
  <si>
    <t>Abarrotes Mariano</t>
  </si>
  <si>
    <t>Calle 3a. Ote. Nte.</t>
  </si>
  <si>
    <t xml:space="preserve">Primera Ote. Sur </t>
  </si>
  <si>
    <t xml:space="preserve">Fam León </t>
  </si>
  <si>
    <t xml:space="preserve">Profesor Cobach </t>
  </si>
  <si>
    <t>Bar Yeye</t>
  </si>
  <si>
    <t>Bar Morena</t>
  </si>
  <si>
    <t xml:space="preserve">Magda Hernández </t>
  </si>
  <si>
    <t>Luis Lobo</t>
  </si>
  <si>
    <t xml:space="preserve">Fam Chávez </t>
  </si>
  <si>
    <t>Maricela</t>
  </si>
  <si>
    <t xml:space="preserve">Fam Cal y Mayor </t>
  </si>
  <si>
    <t xml:space="preserve">Mónica </t>
  </si>
  <si>
    <t xml:space="preserve">They </t>
  </si>
  <si>
    <t xml:space="preserve">Profesores </t>
  </si>
  <si>
    <t>Panadera</t>
  </si>
  <si>
    <t>Leidy</t>
  </si>
  <si>
    <t>Mamá Leydi</t>
  </si>
  <si>
    <t xml:space="preserve">Marisquería </t>
  </si>
  <si>
    <t>Fam Aguilar</t>
  </si>
  <si>
    <t xml:space="preserve">Fam García </t>
  </si>
  <si>
    <t>Magda Cobach</t>
  </si>
  <si>
    <t xml:space="preserve">Fam Hernández </t>
  </si>
  <si>
    <t xml:space="preserve">Fam Ramírez </t>
  </si>
  <si>
    <t>Lucy</t>
  </si>
  <si>
    <t xml:space="preserve">Bar Bugambilias </t>
  </si>
  <si>
    <t xml:space="preserve">Agustín Toalá </t>
  </si>
  <si>
    <t xml:space="preserve">Místico </t>
  </si>
  <si>
    <t xml:space="preserve">Joaquín </t>
  </si>
  <si>
    <t>Gasera</t>
  </si>
  <si>
    <t>Abarrotes Alfa</t>
  </si>
  <si>
    <t>Abarrotes Kayun</t>
  </si>
  <si>
    <t>Malú</t>
  </si>
  <si>
    <t>Mayda</t>
  </si>
  <si>
    <t>Christian Toledo</t>
  </si>
  <si>
    <t>Luis Bisquets</t>
  </si>
  <si>
    <t xml:space="preserve">Fam Toalá López </t>
  </si>
  <si>
    <t>Sofía Moguel</t>
  </si>
  <si>
    <t xml:space="preserve">Armando Palacios </t>
  </si>
  <si>
    <t xml:space="preserve">Abarrotes Solidaridad </t>
  </si>
  <si>
    <t xml:space="preserve">Fam Jiménez </t>
  </si>
  <si>
    <t xml:space="preserve">Armando Jiménez </t>
  </si>
  <si>
    <t xml:space="preserve">Jordán Jiménez </t>
  </si>
  <si>
    <t>Armando Palacios</t>
  </si>
  <si>
    <t>Abarrotes Las Palmas</t>
  </si>
  <si>
    <t>Doña Concepción</t>
  </si>
  <si>
    <t>Ferretería Zorro</t>
  </si>
  <si>
    <t xml:space="preserve">Fam Moguel de los Santos </t>
  </si>
  <si>
    <t xml:space="preserve">Maricela </t>
  </si>
  <si>
    <t>Fam Cal Y Mayor</t>
  </si>
  <si>
    <t xml:space="preserve">Fam Toalá Reyes </t>
  </si>
  <si>
    <t xml:space="preserve">Profe Cobach </t>
  </si>
  <si>
    <t xml:space="preserve">Fernanda Estrada </t>
  </si>
  <si>
    <t xml:space="preserve">Guadalupe De los Santos </t>
  </si>
  <si>
    <t xml:space="preserve">Hugo Eléctrico </t>
  </si>
  <si>
    <t xml:space="preserve">Fam Aguilar </t>
  </si>
  <si>
    <t xml:space="preserve">Carnes Frías Don Salchichón </t>
  </si>
  <si>
    <t xml:space="preserve">Fam De los Santos Pérez </t>
  </si>
  <si>
    <t>Germán De los Santos</t>
  </si>
  <si>
    <t>Cantidad</t>
  </si>
  <si>
    <t>Agustín De Los Santos</t>
  </si>
  <si>
    <t xml:space="preserve">Jorge Luis López </t>
  </si>
  <si>
    <t xml:space="preserve">Luis Bisquets </t>
  </si>
  <si>
    <t>Abarrotes La Laguna</t>
  </si>
  <si>
    <t>Samuel De Los Santos</t>
  </si>
  <si>
    <t>Fam López Cabrera</t>
  </si>
  <si>
    <t xml:space="preserve">Christian Toledo </t>
  </si>
  <si>
    <t xml:space="preserve">El Manguito </t>
  </si>
  <si>
    <t xml:space="preserve">Tamales El Triunfo </t>
  </si>
  <si>
    <t>Fam Chandomí</t>
  </si>
  <si>
    <t>Suegra Guayo</t>
  </si>
  <si>
    <t xml:space="preserve">Fam Moguel De Los Santos </t>
  </si>
  <si>
    <t>Vecina Hugo Eléctrico</t>
  </si>
  <si>
    <t xml:space="preserve">Suegra Luis Antonio M </t>
  </si>
  <si>
    <t>Sra Sofía</t>
  </si>
  <si>
    <t>Sra Reyna</t>
  </si>
  <si>
    <t>Sra de Jiménez</t>
  </si>
  <si>
    <t>Fam Ramírez Ortíz</t>
  </si>
  <si>
    <t>Pozol Y Empanadas</t>
  </si>
  <si>
    <t>Nuevo Cliente Terán Puente</t>
  </si>
  <si>
    <t xml:space="preserve">Luis Antonio M </t>
  </si>
  <si>
    <t>Lavado de Autos Burbu Mágico</t>
  </si>
  <si>
    <t>Jorge Luis López</t>
  </si>
  <si>
    <t>Javier Jiménez</t>
  </si>
  <si>
    <t>Fam Moguel López</t>
  </si>
  <si>
    <t>El Manguito</t>
  </si>
  <si>
    <t>Sra Trini Cobach</t>
  </si>
  <si>
    <t>Sra Sofía Lobo</t>
  </si>
  <si>
    <t>Sra Natalia</t>
  </si>
  <si>
    <t>Carnes Asadas Doña Laura</t>
  </si>
  <si>
    <t>Sra Irma</t>
  </si>
  <si>
    <t>Depósito Cerveza Guayo</t>
  </si>
  <si>
    <t>Tamales El Triunfo</t>
  </si>
  <si>
    <t>Don Manuel</t>
  </si>
  <si>
    <t>Lic Alfonso</t>
  </si>
  <si>
    <t>Alejandra Priv Terán</t>
  </si>
  <si>
    <t>Clientes</t>
  </si>
  <si>
    <t xml:space="preserve">Lic Alfonso </t>
  </si>
  <si>
    <t xml:space="preserve">Sra Sofía </t>
  </si>
  <si>
    <t xml:space="preserve">Sr Manuel </t>
  </si>
  <si>
    <t>Sr Manuel</t>
  </si>
  <si>
    <t>Sra Concepción</t>
  </si>
  <si>
    <t xml:space="preserve">Suegra Guayo </t>
  </si>
  <si>
    <t>Guadalupe De Los Santos</t>
  </si>
  <si>
    <t>Germán De Los Santos</t>
  </si>
  <si>
    <t>Carnes Frías Don Salchichón</t>
  </si>
  <si>
    <t xml:space="preserve">Carnes Asadas Doña Laura </t>
  </si>
  <si>
    <t>Mamá Leidy</t>
  </si>
  <si>
    <t xml:space="preserve">Fam Moguel López </t>
  </si>
  <si>
    <t xml:space="preserve">Sra Venta Pozol </t>
  </si>
  <si>
    <t>Sra Venta Pozol</t>
  </si>
  <si>
    <t xml:space="preserve">Fam Cal Y Mayor </t>
  </si>
  <si>
    <t>Jordán Jiménez</t>
  </si>
  <si>
    <t xml:space="preserve">Vecina Hugo Eléctrico </t>
  </si>
  <si>
    <t>Sra De Jiménez</t>
  </si>
  <si>
    <t xml:space="preserve">Fam Ramírez Ortíz </t>
  </si>
  <si>
    <t xml:space="preserve">Sra Natalia </t>
  </si>
  <si>
    <t xml:space="preserve">Guadalupe De Los Santos </t>
  </si>
  <si>
    <t>Nuevo Cliente 1</t>
  </si>
  <si>
    <t xml:space="preserve">Abarrotes Las Palmas </t>
  </si>
  <si>
    <t>Luis Antonio M</t>
  </si>
  <si>
    <t>Id_venta</t>
  </si>
  <si>
    <t>PTE</t>
  </si>
  <si>
    <t>Plan De Ayala</t>
  </si>
  <si>
    <t>CCI</t>
  </si>
  <si>
    <t>La Herradura</t>
  </si>
  <si>
    <t>ID_clientes</t>
  </si>
  <si>
    <t>Anónimo</t>
  </si>
  <si>
    <t>Guadalupe De los Santos</t>
  </si>
  <si>
    <t>Fam Cal y Mayor</t>
  </si>
  <si>
    <t>Nombre Cliente:</t>
  </si>
  <si>
    <t>Precio:</t>
  </si>
  <si>
    <t>Total:</t>
  </si>
  <si>
    <t>Venta No.</t>
  </si>
  <si>
    <t>Cantidad:</t>
  </si>
  <si>
    <t>Fecha y Hora:</t>
  </si>
  <si>
    <t>Fecha y 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</si>
</sst>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[$$-80A]* #,##0.00_-;\-[$$-80A]* #,##0.00_-;_-[$$-80A]* &quot;-&quot;??_-;_-@_-"/>
    <numFmt numFmtId="165" formatCode="_-[$$-80A]* #,##0_-;\-[$$-80A]* #,##0_-;_-[$$-80A]* &quot;-&quot;??_-;_-@_-"/>
    <numFmt numFmtId="170" formatCode="dd/mm/yyyy\ h:mm\ AM/PM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2" fillId="2" borderId="1" xfId="0" applyFont="1" applyFill="1" applyBorder="1"/>
    <xf numFmtId="170" fontId="0" fillId="0" borderId="0" xfId="0" applyNumberFormat="1" applyBorder="1"/>
    <xf numFmtId="170" fontId="0" fillId="0" borderId="0" xfId="0" applyNumberFormat="1"/>
    <xf numFmtId="0" fontId="0" fillId="2" borderId="1" xfId="0" applyFill="1" applyBorder="1"/>
    <xf numFmtId="165" fontId="0" fillId="2" borderId="1" xfId="1" applyNumberFormat="1" applyFont="1" applyFill="1" applyBorder="1"/>
    <xf numFmtId="170" fontId="0" fillId="2" borderId="1" xfId="0" applyNumberFormat="1" applyFill="1" applyBorder="1"/>
    <xf numFmtId="165" fontId="0" fillId="2" borderId="1" xfId="0" applyNumberFormat="1" applyFill="1" applyBorder="1"/>
    <xf numFmtId="22" fontId="0" fillId="0" borderId="0" xfId="0" applyNumberFormat="1" applyFill="1"/>
    <xf numFmtId="0" fontId="0" fillId="0" borderId="0" xfId="0" applyFill="1"/>
    <xf numFmtId="0" fontId="0" fillId="0" borderId="2" xfId="0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19050</xdr:rowOff>
    </xdr:from>
    <xdr:to>
      <xdr:col>3</xdr:col>
      <xdr:colOff>85725</xdr:colOff>
      <xdr:row>7</xdr:row>
      <xdr:rowOff>95250</xdr:rowOff>
    </xdr:to>
    <xdr:sp macro="[0]!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1CD93D-DE26-4FAB-BDAA-CC2797B8CFF7}"/>
            </a:ext>
          </a:extLst>
        </xdr:cNvPr>
        <xdr:cNvSpPr/>
      </xdr:nvSpPr>
      <xdr:spPr>
        <a:xfrm>
          <a:off x="1809750" y="971550"/>
          <a:ext cx="1143000" cy="457200"/>
        </a:xfrm>
        <a:prstGeom prst="roundRect">
          <a:avLst/>
        </a:prstGeom>
        <a:ln w="28575"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 i="0" u="none">
              <a:latin typeface="Times New Roman" panose="02020603050405020304" pitchFamily="18" charset="0"/>
              <a:cs typeface="Times New Roman" panose="02020603050405020304" pitchFamily="18" charset="0"/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76E-DA29-4AC0-B056-E774A8898810}">
  <sheetPr codeName="Hoja2"/>
  <dimension ref="B1:D8"/>
  <sheetViews>
    <sheetView showGridLines="0" tabSelected="1" workbookViewId="0">
      <selection activeCell="E14" sqref="E14"/>
    </sheetView>
  </sheetViews>
  <sheetFormatPr baseColWidth="10" defaultRowHeight="15" x14ac:dyDescent="0.25"/>
  <cols>
    <col min="2" max="2" width="19.140625" bestFit="1" customWidth="1"/>
    <col min="3" max="3" width="20.140625" bestFit="1" customWidth="1"/>
    <col min="4" max="4" width="18.140625" bestFit="1" customWidth="1"/>
  </cols>
  <sheetData>
    <row r="1" spans="2:4" ht="18.75" x14ac:dyDescent="0.3">
      <c r="B1" s="6" t="s">
        <v>163</v>
      </c>
      <c r="C1" s="9"/>
      <c r="D1" s="9"/>
    </row>
    <row r="2" spans="2:4" ht="18.75" x14ac:dyDescent="0.3">
      <c r="B2" s="6" t="s">
        <v>164</v>
      </c>
      <c r="C2" s="10" t="e">
        <f>VLOOKUP(C1,CLIENTES,2,FALSE)</f>
        <v>#N/A</v>
      </c>
      <c r="D2" s="6" t="s">
        <v>168</v>
      </c>
    </row>
    <row r="3" spans="2:4" ht="18.75" x14ac:dyDescent="0.3">
      <c r="B3" s="6" t="s">
        <v>167</v>
      </c>
      <c r="C3" s="9"/>
      <c r="D3" s="11"/>
    </row>
    <row r="4" spans="2:4" ht="18.75" x14ac:dyDescent="0.3">
      <c r="B4" s="6" t="s">
        <v>166</v>
      </c>
      <c r="C4" s="9">
        <v>381</v>
      </c>
      <c r="D4" s="13"/>
    </row>
    <row r="5" spans="2:4" ht="18.75" x14ac:dyDescent="0.3">
      <c r="B5" s="6" t="s">
        <v>165</v>
      </c>
      <c r="C5" s="12" t="e">
        <f>C2*C3</f>
        <v>#N/A</v>
      </c>
      <c r="D5" s="14"/>
    </row>
    <row r="6" spans="2:4" x14ac:dyDescent="0.25">
      <c r="B6" s="14"/>
      <c r="C6" s="15"/>
      <c r="D6" s="14"/>
    </row>
    <row r="7" spans="2:4" x14ac:dyDescent="0.25">
      <c r="B7" s="14"/>
      <c r="C7" s="14"/>
      <c r="D7" s="14"/>
    </row>
    <row r="8" spans="2:4" x14ac:dyDescent="0.25">
      <c r="B8" s="14"/>
      <c r="C8" s="14"/>
      <c r="D8" s="14"/>
    </row>
  </sheetData>
  <dataValidations count="1">
    <dataValidation type="list" allowBlank="1" showInputMessage="1" showErrorMessage="1" sqref="C1" xr:uid="{4C1FE631-FE2A-4EB5-8E41-90C71708E7F3}">
      <formula1>Nombres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0D69-3C58-4808-9A8D-870BD3CC40A3}">
  <sheetPr codeName="Hoja1"/>
  <dimension ref="A1:G387"/>
  <sheetViews>
    <sheetView topLeftCell="A368" zoomScaleNormal="100" workbookViewId="0">
      <selection activeCell="B383" sqref="B383"/>
    </sheetView>
  </sheetViews>
  <sheetFormatPr baseColWidth="10" defaultColWidth="10.7109375" defaultRowHeight="15" x14ac:dyDescent="0.25"/>
  <cols>
    <col min="2" max="2" width="19.28515625" style="8" bestFit="1" customWidth="1"/>
    <col min="3" max="3" width="28.28515625" bestFit="1" customWidth="1"/>
    <col min="4" max="4" width="8.85546875" style="1" bestFit="1" customWidth="1"/>
    <col min="5" max="5" width="9" style="2" bestFit="1" customWidth="1"/>
    <col min="7" max="7" width="13" style="1" bestFit="1" customWidth="1"/>
    <col min="8" max="8" width="14.28515625" bestFit="1" customWidth="1"/>
    <col min="9" max="9" width="15.140625" bestFit="1" customWidth="1"/>
    <col min="10" max="10" width="7.85546875" bestFit="1" customWidth="1"/>
    <col min="11" max="11" width="7.42578125" bestFit="1" customWidth="1"/>
  </cols>
  <sheetData>
    <row r="1" spans="1:5" x14ac:dyDescent="0.25">
      <c r="A1" t="s">
        <v>154</v>
      </c>
      <c r="B1" s="8" t="s">
        <v>169</v>
      </c>
      <c r="C1" t="s">
        <v>0</v>
      </c>
      <c r="D1" s="1" t="s">
        <v>92</v>
      </c>
      <c r="E1" s="4" t="s">
        <v>1</v>
      </c>
    </row>
    <row r="2" spans="1:5" x14ac:dyDescent="0.25">
      <c r="A2">
        <f>ROW(A1)</f>
        <v>1</v>
      </c>
      <c r="B2" s="8">
        <v>44440</v>
      </c>
      <c r="C2" t="s">
        <v>106</v>
      </c>
      <c r="D2" s="1">
        <v>2</v>
      </c>
      <c r="E2" s="3">
        <v>30</v>
      </c>
    </row>
    <row r="3" spans="1:5" x14ac:dyDescent="0.25">
      <c r="A3">
        <f>ROW(A2)</f>
        <v>2</v>
      </c>
      <c r="B3" s="8">
        <v>44440</v>
      </c>
      <c r="C3" t="s">
        <v>130</v>
      </c>
      <c r="D3" s="1">
        <v>8</v>
      </c>
      <c r="E3" s="3">
        <v>120</v>
      </c>
    </row>
    <row r="4" spans="1:5" x14ac:dyDescent="0.25">
      <c r="A4">
        <f>ROW(A3)</f>
        <v>3</v>
      </c>
      <c r="B4" s="8">
        <v>44440</v>
      </c>
      <c r="C4" t="s">
        <v>128</v>
      </c>
      <c r="D4" s="1">
        <v>4</v>
      </c>
      <c r="E4" s="3">
        <v>60</v>
      </c>
    </row>
    <row r="5" spans="1:5" x14ac:dyDescent="0.25">
      <c r="A5">
        <f>ROW(A4)</f>
        <v>4</v>
      </c>
      <c r="B5" s="8">
        <v>44440</v>
      </c>
      <c r="C5" t="s">
        <v>97</v>
      </c>
      <c r="D5" s="1">
        <v>4</v>
      </c>
      <c r="E5" s="3">
        <v>60</v>
      </c>
    </row>
    <row r="6" spans="1:5" x14ac:dyDescent="0.25">
      <c r="A6">
        <f>ROW(A5)</f>
        <v>5</v>
      </c>
      <c r="B6" s="8">
        <v>44440</v>
      </c>
      <c r="C6" t="s">
        <v>114</v>
      </c>
      <c r="D6" s="1">
        <v>1</v>
      </c>
      <c r="E6" s="3">
        <v>15</v>
      </c>
    </row>
    <row r="7" spans="1:5" x14ac:dyDescent="0.25">
      <c r="A7">
        <f>ROW(A6)</f>
        <v>6</v>
      </c>
      <c r="B7" s="8">
        <v>44440</v>
      </c>
      <c r="C7" t="s">
        <v>131</v>
      </c>
      <c r="D7" s="1">
        <v>3</v>
      </c>
      <c r="E7" s="3">
        <v>45</v>
      </c>
    </row>
    <row r="8" spans="1:5" x14ac:dyDescent="0.25">
      <c r="A8">
        <f>ROW(A7)</f>
        <v>7</v>
      </c>
      <c r="B8" s="8">
        <v>44440</v>
      </c>
      <c r="C8" t="s">
        <v>132</v>
      </c>
      <c r="D8" s="1">
        <v>2</v>
      </c>
      <c r="E8" s="3">
        <v>30</v>
      </c>
    </row>
    <row r="9" spans="1:5" x14ac:dyDescent="0.25">
      <c r="A9">
        <f>ROW(A8)</f>
        <v>8</v>
      </c>
      <c r="B9" s="8">
        <v>44440</v>
      </c>
      <c r="C9" t="s">
        <v>134</v>
      </c>
      <c r="D9" s="1">
        <v>1</v>
      </c>
      <c r="E9" s="3">
        <v>15</v>
      </c>
    </row>
    <row r="10" spans="1:5" x14ac:dyDescent="0.25">
      <c r="A10">
        <f>ROW(A9)</f>
        <v>9</v>
      </c>
      <c r="B10" s="8">
        <v>44440</v>
      </c>
      <c r="C10" t="s">
        <v>27</v>
      </c>
      <c r="D10" s="1">
        <v>1</v>
      </c>
      <c r="E10" s="3">
        <v>15</v>
      </c>
    </row>
    <row r="11" spans="1:5" x14ac:dyDescent="0.25">
      <c r="A11">
        <f>ROW(A10)</f>
        <v>10</v>
      </c>
      <c r="B11" s="8">
        <v>44440</v>
      </c>
      <c r="C11" t="s">
        <v>14</v>
      </c>
      <c r="D11" s="1">
        <v>1</v>
      </c>
      <c r="E11" s="3">
        <v>15</v>
      </c>
    </row>
    <row r="12" spans="1:5" x14ac:dyDescent="0.25">
      <c r="A12">
        <f>ROW(A11)</f>
        <v>11</v>
      </c>
      <c r="B12" s="8">
        <v>44440</v>
      </c>
      <c r="C12" t="s">
        <v>29</v>
      </c>
      <c r="D12" s="1">
        <v>3</v>
      </c>
      <c r="E12" s="3">
        <v>45</v>
      </c>
    </row>
    <row r="13" spans="1:5" x14ac:dyDescent="0.25">
      <c r="A13">
        <f>ROW(A12)</f>
        <v>12</v>
      </c>
      <c r="B13" s="8">
        <v>44440</v>
      </c>
      <c r="C13" t="s">
        <v>76</v>
      </c>
      <c r="D13" s="1">
        <v>5</v>
      </c>
      <c r="E13" s="3">
        <v>75</v>
      </c>
    </row>
    <row r="14" spans="1:5" x14ac:dyDescent="0.25">
      <c r="A14">
        <f>ROW(A13)</f>
        <v>13</v>
      </c>
      <c r="B14" s="8">
        <v>44440</v>
      </c>
      <c r="C14" t="s">
        <v>124</v>
      </c>
      <c r="D14" s="1">
        <v>2</v>
      </c>
      <c r="E14" s="3">
        <v>30</v>
      </c>
    </row>
    <row r="15" spans="1:5" x14ac:dyDescent="0.25">
      <c r="A15">
        <f>ROW(A14)</f>
        <v>14</v>
      </c>
      <c r="B15" s="8">
        <v>44440</v>
      </c>
      <c r="C15" t="s">
        <v>111</v>
      </c>
      <c r="D15" s="1">
        <v>3</v>
      </c>
      <c r="E15" s="3">
        <v>45</v>
      </c>
    </row>
    <row r="16" spans="1:5" x14ac:dyDescent="0.25">
      <c r="A16">
        <f>ROW(A15)</f>
        <v>15</v>
      </c>
      <c r="B16" s="8">
        <v>44440</v>
      </c>
      <c r="C16" t="s">
        <v>33</v>
      </c>
      <c r="D16" s="1">
        <v>4</v>
      </c>
      <c r="E16" s="3">
        <v>60</v>
      </c>
    </row>
    <row r="17" spans="1:5" x14ac:dyDescent="0.25">
      <c r="A17">
        <f>ROW(A16)</f>
        <v>16</v>
      </c>
      <c r="B17" s="8">
        <v>44440</v>
      </c>
      <c r="C17" t="s">
        <v>15</v>
      </c>
      <c r="D17" s="1">
        <v>5</v>
      </c>
      <c r="E17" s="3">
        <v>75</v>
      </c>
    </row>
    <row r="18" spans="1:5" x14ac:dyDescent="0.25">
      <c r="A18">
        <f>ROW(A17)</f>
        <v>17</v>
      </c>
      <c r="B18" s="8">
        <v>44440</v>
      </c>
      <c r="C18" t="s">
        <v>16</v>
      </c>
      <c r="D18" s="1">
        <v>5</v>
      </c>
      <c r="E18" s="3">
        <v>70</v>
      </c>
    </row>
    <row r="19" spans="1:5" x14ac:dyDescent="0.25">
      <c r="A19">
        <f>ROW(A18)</f>
        <v>18</v>
      </c>
      <c r="B19" s="8">
        <v>44440</v>
      </c>
      <c r="C19" t="s">
        <v>64</v>
      </c>
      <c r="D19" s="1">
        <v>12</v>
      </c>
      <c r="E19" s="3">
        <v>180</v>
      </c>
    </row>
    <row r="20" spans="1:5" x14ac:dyDescent="0.25">
      <c r="A20">
        <f>ROW(A19)</f>
        <v>19</v>
      </c>
      <c r="B20" s="8">
        <v>44441</v>
      </c>
      <c r="C20" t="s">
        <v>79</v>
      </c>
      <c r="D20" s="1">
        <v>3</v>
      </c>
      <c r="E20" s="3">
        <v>45</v>
      </c>
    </row>
    <row r="21" spans="1:5" x14ac:dyDescent="0.25">
      <c r="A21">
        <f>ROW(A20)</f>
        <v>20</v>
      </c>
      <c r="B21" s="8">
        <v>44441</v>
      </c>
      <c r="C21" t="s">
        <v>73</v>
      </c>
      <c r="D21" s="1">
        <v>3</v>
      </c>
      <c r="E21" s="3">
        <v>45</v>
      </c>
    </row>
    <row r="22" spans="1:5" x14ac:dyDescent="0.25">
      <c r="A22">
        <f>ROW(A21)</f>
        <v>21</v>
      </c>
      <c r="B22" s="8">
        <v>44441</v>
      </c>
      <c r="C22" t="s">
        <v>36</v>
      </c>
      <c r="D22" s="1">
        <v>6</v>
      </c>
      <c r="E22" s="3">
        <v>90</v>
      </c>
    </row>
    <row r="23" spans="1:5" x14ac:dyDescent="0.25">
      <c r="A23">
        <f>ROW(A22)</f>
        <v>22</v>
      </c>
      <c r="B23" s="8">
        <v>44441</v>
      </c>
      <c r="C23" t="s">
        <v>37</v>
      </c>
      <c r="D23" s="1">
        <v>9</v>
      </c>
      <c r="E23" s="3">
        <v>135</v>
      </c>
    </row>
    <row r="24" spans="1:5" x14ac:dyDescent="0.25">
      <c r="A24">
        <f>ROW(A23)</f>
        <v>23</v>
      </c>
      <c r="B24" s="8">
        <v>44441</v>
      </c>
      <c r="C24" t="s">
        <v>119</v>
      </c>
      <c r="D24" s="1">
        <v>7</v>
      </c>
      <c r="E24" s="3">
        <v>105</v>
      </c>
    </row>
    <row r="25" spans="1:5" x14ac:dyDescent="0.25">
      <c r="A25">
        <f>ROW(A24)</f>
        <v>24</v>
      </c>
      <c r="B25" s="8">
        <v>44441</v>
      </c>
      <c r="C25" t="s">
        <v>38</v>
      </c>
      <c r="D25" s="1">
        <v>3</v>
      </c>
      <c r="E25" s="3">
        <v>45</v>
      </c>
    </row>
    <row r="26" spans="1:5" x14ac:dyDescent="0.25">
      <c r="A26">
        <f>ROW(A25)</f>
        <v>25</v>
      </c>
      <c r="B26" s="8">
        <v>44441</v>
      </c>
      <c r="C26" t="s">
        <v>39</v>
      </c>
      <c r="D26" s="1">
        <v>3</v>
      </c>
      <c r="E26" s="3">
        <v>45</v>
      </c>
    </row>
    <row r="27" spans="1:5" x14ac:dyDescent="0.25">
      <c r="A27">
        <f>ROW(A26)</f>
        <v>26</v>
      </c>
      <c r="B27" s="8">
        <v>44441</v>
      </c>
      <c r="C27" t="s">
        <v>103</v>
      </c>
      <c r="D27" s="1">
        <v>3</v>
      </c>
      <c r="E27" s="3">
        <v>45</v>
      </c>
    </row>
    <row r="28" spans="1:5" x14ac:dyDescent="0.25">
      <c r="A28">
        <f>ROW(A27)</f>
        <v>27</v>
      </c>
      <c r="B28" s="8">
        <v>44441</v>
      </c>
      <c r="C28" t="s">
        <v>77</v>
      </c>
      <c r="D28" s="1">
        <v>7</v>
      </c>
      <c r="E28" s="3">
        <v>105</v>
      </c>
    </row>
    <row r="29" spans="1:5" x14ac:dyDescent="0.25">
      <c r="A29">
        <f>ROW(A28)</f>
        <v>28</v>
      </c>
      <c r="B29" s="8">
        <v>44442</v>
      </c>
      <c r="C29" t="s">
        <v>136</v>
      </c>
      <c r="D29" s="1">
        <v>4</v>
      </c>
      <c r="E29" s="3">
        <v>60</v>
      </c>
    </row>
    <row r="30" spans="1:5" x14ac:dyDescent="0.25">
      <c r="A30">
        <f>ROW(A29)</f>
        <v>29</v>
      </c>
      <c r="B30" s="8">
        <v>44442</v>
      </c>
      <c r="C30" t="s">
        <v>69</v>
      </c>
      <c r="D30" s="1">
        <v>4</v>
      </c>
      <c r="E30" s="3">
        <v>60</v>
      </c>
    </row>
    <row r="31" spans="1:5" x14ac:dyDescent="0.25">
      <c r="A31">
        <f>ROW(A30)</f>
        <v>30</v>
      </c>
      <c r="B31" s="8">
        <v>44442</v>
      </c>
      <c r="C31" t="s">
        <v>40</v>
      </c>
      <c r="D31" s="1">
        <v>4</v>
      </c>
      <c r="E31" s="3">
        <v>60</v>
      </c>
    </row>
    <row r="32" spans="1:5" x14ac:dyDescent="0.25">
      <c r="A32">
        <f>ROW(A31)</f>
        <v>31</v>
      </c>
      <c r="B32" s="8">
        <v>44442</v>
      </c>
      <c r="C32" t="s">
        <v>41</v>
      </c>
      <c r="D32" s="1">
        <v>1</v>
      </c>
      <c r="E32" s="3">
        <v>15</v>
      </c>
    </row>
    <row r="33" spans="1:5" x14ac:dyDescent="0.25">
      <c r="A33">
        <f>ROW(A32)</f>
        <v>32</v>
      </c>
      <c r="B33" s="8">
        <v>44442</v>
      </c>
      <c r="C33" t="s">
        <v>42</v>
      </c>
      <c r="D33" s="1">
        <v>3</v>
      </c>
      <c r="E33" s="3">
        <v>45</v>
      </c>
    </row>
    <row r="34" spans="1:5" x14ac:dyDescent="0.25">
      <c r="A34">
        <f>ROW(A33)</f>
        <v>33</v>
      </c>
      <c r="B34" s="8">
        <v>44442</v>
      </c>
      <c r="C34" t="s">
        <v>137</v>
      </c>
      <c r="D34" s="1">
        <v>1</v>
      </c>
      <c r="E34" s="3">
        <v>15</v>
      </c>
    </row>
    <row r="35" spans="1:5" x14ac:dyDescent="0.25">
      <c r="A35">
        <f>ROW(A34)</f>
        <v>34</v>
      </c>
      <c r="B35" s="8">
        <v>44442</v>
      </c>
      <c r="C35" t="s">
        <v>138</v>
      </c>
      <c r="D35" s="1">
        <v>1</v>
      </c>
      <c r="E35" s="3">
        <v>15</v>
      </c>
    </row>
    <row r="36" spans="1:5" x14ac:dyDescent="0.25">
      <c r="A36">
        <f>ROW(A35)</f>
        <v>35</v>
      </c>
      <c r="B36" s="8">
        <v>44442</v>
      </c>
      <c r="C36" t="s">
        <v>125</v>
      </c>
      <c r="D36" s="1">
        <v>4</v>
      </c>
      <c r="E36" s="3">
        <v>60</v>
      </c>
    </row>
    <row r="37" spans="1:5" x14ac:dyDescent="0.25">
      <c r="A37">
        <f>ROW(A36)</f>
        <v>36</v>
      </c>
      <c r="B37" s="8">
        <v>44442</v>
      </c>
      <c r="C37" t="s">
        <v>43</v>
      </c>
      <c r="D37" s="1">
        <v>2</v>
      </c>
      <c r="E37" s="3">
        <v>30</v>
      </c>
    </row>
    <row r="38" spans="1:5" x14ac:dyDescent="0.25">
      <c r="A38">
        <f>ROW(A37)</f>
        <v>37</v>
      </c>
      <c r="B38" s="8">
        <v>44442</v>
      </c>
      <c r="C38" t="s">
        <v>144</v>
      </c>
      <c r="D38" s="1">
        <v>2</v>
      </c>
      <c r="E38" s="3">
        <v>30</v>
      </c>
    </row>
    <row r="39" spans="1:5" x14ac:dyDescent="0.25">
      <c r="A39">
        <f>ROW(A38)</f>
        <v>38</v>
      </c>
      <c r="B39" s="8">
        <v>44442</v>
      </c>
      <c r="C39" t="s">
        <v>45</v>
      </c>
      <c r="D39" s="1">
        <v>2</v>
      </c>
      <c r="E39" s="3">
        <v>30</v>
      </c>
    </row>
    <row r="40" spans="1:5" x14ac:dyDescent="0.25">
      <c r="A40">
        <f>ROW(A39)</f>
        <v>39</v>
      </c>
      <c r="B40" s="8">
        <v>44442</v>
      </c>
      <c r="C40" t="s">
        <v>139</v>
      </c>
      <c r="D40" s="1">
        <v>12</v>
      </c>
      <c r="E40" s="3">
        <v>180</v>
      </c>
    </row>
    <row r="41" spans="1:5" x14ac:dyDescent="0.25">
      <c r="A41">
        <f>ROW(A40)</f>
        <v>40</v>
      </c>
      <c r="B41" s="8">
        <v>44442</v>
      </c>
      <c r="C41" t="s">
        <v>111</v>
      </c>
      <c r="D41" s="1">
        <v>3</v>
      </c>
      <c r="E41" s="3">
        <v>45</v>
      </c>
    </row>
    <row r="42" spans="1:5" x14ac:dyDescent="0.25">
      <c r="A42">
        <f>ROW(A41)</f>
        <v>41</v>
      </c>
      <c r="B42" s="8">
        <v>44442</v>
      </c>
      <c r="C42" t="s">
        <v>33</v>
      </c>
      <c r="D42" s="1">
        <v>8</v>
      </c>
      <c r="E42" s="3">
        <v>120</v>
      </c>
    </row>
    <row r="43" spans="1:5" x14ac:dyDescent="0.25">
      <c r="A43">
        <f>ROW(A42)</f>
        <v>42</v>
      </c>
      <c r="B43" s="8">
        <v>44442</v>
      </c>
      <c r="C43" t="s">
        <v>46</v>
      </c>
      <c r="D43" s="1">
        <v>1</v>
      </c>
      <c r="E43" s="3">
        <v>15</v>
      </c>
    </row>
    <row r="44" spans="1:5" x14ac:dyDescent="0.25">
      <c r="A44">
        <f>ROW(A43)</f>
        <v>43</v>
      </c>
      <c r="B44" s="8">
        <v>44443</v>
      </c>
      <c r="C44" t="s">
        <v>47</v>
      </c>
      <c r="D44" s="1">
        <v>1</v>
      </c>
      <c r="E44" s="3">
        <v>15</v>
      </c>
    </row>
    <row r="45" spans="1:5" x14ac:dyDescent="0.25">
      <c r="A45">
        <f>ROW(A44)</f>
        <v>44</v>
      </c>
      <c r="B45" s="8">
        <v>44443</v>
      </c>
      <c r="C45" t="s">
        <v>14</v>
      </c>
      <c r="D45" s="1">
        <v>1</v>
      </c>
      <c r="E45" s="3">
        <v>15</v>
      </c>
    </row>
    <row r="46" spans="1:5" x14ac:dyDescent="0.25">
      <c r="A46">
        <f>ROW(A45)</f>
        <v>45</v>
      </c>
      <c r="B46" s="8">
        <v>44443</v>
      </c>
      <c r="C46" t="s">
        <v>48</v>
      </c>
      <c r="D46" s="1">
        <v>12</v>
      </c>
      <c r="E46" s="3">
        <v>156</v>
      </c>
    </row>
    <row r="47" spans="1:5" x14ac:dyDescent="0.25">
      <c r="A47">
        <f>ROW(A46)</f>
        <v>46</v>
      </c>
      <c r="B47" s="8">
        <v>44443</v>
      </c>
      <c r="C47" t="s">
        <v>49</v>
      </c>
      <c r="D47" s="1">
        <v>4</v>
      </c>
      <c r="E47" s="3">
        <v>60</v>
      </c>
    </row>
    <row r="48" spans="1:5" x14ac:dyDescent="0.25">
      <c r="A48">
        <f>ROW(A47)</f>
        <v>47</v>
      </c>
      <c r="B48" s="8">
        <v>44443</v>
      </c>
      <c r="C48" t="s">
        <v>140</v>
      </c>
      <c r="D48" s="1">
        <v>4</v>
      </c>
      <c r="E48" s="3">
        <v>60</v>
      </c>
    </row>
    <row r="49" spans="1:5" x14ac:dyDescent="0.25">
      <c r="A49">
        <f>ROW(A48)</f>
        <v>48</v>
      </c>
      <c r="B49" s="8">
        <v>44443</v>
      </c>
      <c r="C49" t="s">
        <v>106</v>
      </c>
      <c r="D49" s="1">
        <v>3</v>
      </c>
      <c r="E49" s="3">
        <v>45</v>
      </c>
    </row>
    <row r="50" spans="1:5" x14ac:dyDescent="0.25">
      <c r="A50">
        <f>ROW(A49)</f>
        <v>49</v>
      </c>
      <c r="B50" s="8">
        <v>44443</v>
      </c>
      <c r="C50" t="s">
        <v>97</v>
      </c>
      <c r="D50" s="1">
        <v>3</v>
      </c>
      <c r="E50" s="3">
        <v>45</v>
      </c>
    </row>
    <row r="51" spans="1:5" x14ac:dyDescent="0.25">
      <c r="A51">
        <f>ROW(A50)</f>
        <v>50</v>
      </c>
      <c r="B51" s="8">
        <v>44443</v>
      </c>
      <c r="C51" t="s">
        <v>38</v>
      </c>
      <c r="D51" s="1">
        <v>5</v>
      </c>
      <c r="E51" s="3">
        <v>75</v>
      </c>
    </row>
    <row r="52" spans="1:5" x14ac:dyDescent="0.25">
      <c r="A52">
        <f>ROW(A51)</f>
        <v>51</v>
      </c>
      <c r="B52" s="8">
        <v>44443</v>
      </c>
      <c r="C52" t="s">
        <v>52</v>
      </c>
      <c r="D52" s="1">
        <v>2</v>
      </c>
      <c r="E52" s="3">
        <v>30</v>
      </c>
    </row>
    <row r="53" spans="1:5" x14ac:dyDescent="0.25">
      <c r="A53">
        <f>ROW(A52)</f>
        <v>52</v>
      </c>
      <c r="B53" s="8">
        <v>44443</v>
      </c>
      <c r="C53" t="s">
        <v>53</v>
      </c>
      <c r="D53" s="1">
        <v>2</v>
      </c>
      <c r="E53" s="3">
        <v>30</v>
      </c>
    </row>
    <row r="54" spans="1:5" x14ac:dyDescent="0.25">
      <c r="A54">
        <f>ROW(A53)</f>
        <v>53</v>
      </c>
      <c r="B54" s="8">
        <v>44443</v>
      </c>
      <c r="C54" t="s">
        <v>54</v>
      </c>
      <c r="D54" s="1">
        <v>4</v>
      </c>
      <c r="E54" s="3">
        <v>60</v>
      </c>
    </row>
    <row r="55" spans="1:5" x14ac:dyDescent="0.25">
      <c r="A55">
        <f>ROW(A54)</f>
        <v>54</v>
      </c>
      <c r="B55" s="8">
        <v>44443</v>
      </c>
      <c r="C55" t="s">
        <v>55</v>
      </c>
      <c r="D55" s="1">
        <v>3</v>
      </c>
      <c r="E55" s="3">
        <v>45</v>
      </c>
    </row>
    <row r="56" spans="1:5" x14ac:dyDescent="0.25">
      <c r="A56">
        <f>ROW(A55)</f>
        <v>55</v>
      </c>
      <c r="B56" s="8">
        <v>44443</v>
      </c>
      <c r="C56" t="s">
        <v>132</v>
      </c>
      <c r="D56" s="1">
        <v>1</v>
      </c>
      <c r="E56" s="3">
        <v>15</v>
      </c>
    </row>
    <row r="57" spans="1:5" x14ac:dyDescent="0.25">
      <c r="A57">
        <f>ROW(A56)</f>
        <v>56</v>
      </c>
      <c r="B57" s="8">
        <v>44443</v>
      </c>
      <c r="C57" t="s">
        <v>114</v>
      </c>
      <c r="D57" s="1">
        <v>2</v>
      </c>
      <c r="E57" s="3">
        <v>30</v>
      </c>
    </row>
    <row r="58" spans="1:5" x14ac:dyDescent="0.25">
      <c r="A58">
        <f>ROW(A57)</f>
        <v>57</v>
      </c>
      <c r="B58" s="8">
        <v>44443</v>
      </c>
      <c r="C58" t="s">
        <v>116</v>
      </c>
      <c r="D58" s="1">
        <v>4</v>
      </c>
      <c r="E58" s="3">
        <v>60</v>
      </c>
    </row>
    <row r="59" spans="1:5" x14ac:dyDescent="0.25">
      <c r="A59">
        <f>ROW(A58)</f>
        <v>58</v>
      </c>
      <c r="B59" s="8">
        <v>44443</v>
      </c>
      <c r="C59" t="s">
        <v>75</v>
      </c>
      <c r="D59" s="1">
        <v>1</v>
      </c>
      <c r="E59" s="3">
        <v>15</v>
      </c>
    </row>
    <row r="60" spans="1:5" x14ac:dyDescent="0.25">
      <c r="A60">
        <f>ROW(A59)</f>
        <v>59</v>
      </c>
      <c r="B60" s="8">
        <v>44443</v>
      </c>
      <c r="C60" t="s">
        <v>120</v>
      </c>
      <c r="D60" s="1">
        <v>4</v>
      </c>
      <c r="E60" s="3">
        <v>60</v>
      </c>
    </row>
    <row r="61" spans="1:5" x14ac:dyDescent="0.25">
      <c r="A61">
        <f>ROW(A60)</f>
        <v>60</v>
      </c>
      <c r="B61" s="8">
        <v>44443</v>
      </c>
      <c r="C61" t="s">
        <v>117</v>
      </c>
      <c r="D61" s="1">
        <v>12</v>
      </c>
      <c r="E61" s="3">
        <v>144</v>
      </c>
    </row>
    <row r="62" spans="1:5" x14ac:dyDescent="0.25">
      <c r="A62">
        <f>ROW(A61)</f>
        <v>61</v>
      </c>
      <c r="B62" s="8">
        <v>44444</v>
      </c>
      <c r="C62" t="s">
        <v>79</v>
      </c>
      <c r="D62" s="1">
        <v>2</v>
      </c>
      <c r="E62" s="3">
        <v>30</v>
      </c>
    </row>
    <row r="63" spans="1:5" x14ac:dyDescent="0.25">
      <c r="A63">
        <f>ROW(A62)</f>
        <v>62</v>
      </c>
      <c r="B63" s="8">
        <v>44444</v>
      </c>
      <c r="C63" t="s">
        <v>64</v>
      </c>
      <c r="D63" s="1">
        <v>12</v>
      </c>
      <c r="E63" s="3">
        <v>144</v>
      </c>
    </row>
    <row r="64" spans="1:5" x14ac:dyDescent="0.25">
      <c r="A64">
        <f>ROW(A63)</f>
        <v>63</v>
      </c>
      <c r="B64" s="8">
        <v>44444</v>
      </c>
      <c r="C64" t="s">
        <v>16</v>
      </c>
      <c r="D64" s="1">
        <v>3</v>
      </c>
      <c r="E64" s="3">
        <v>36</v>
      </c>
    </row>
    <row r="65" spans="1:5" x14ac:dyDescent="0.25">
      <c r="A65">
        <f>ROW(A64)</f>
        <v>64</v>
      </c>
      <c r="B65" s="8">
        <v>44444</v>
      </c>
      <c r="C65" t="s">
        <v>48</v>
      </c>
      <c r="D65" s="1">
        <v>4</v>
      </c>
      <c r="E65" s="3">
        <v>52</v>
      </c>
    </row>
    <row r="66" spans="1:5" x14ac:dyDescent="0.25">
      <c r="A66">
        <f>ROW(A65)</f>
        <v>65</v>
      </c>
      <c r="B66" s="8">
        <v>44444</v>
      </c>
      <c r="C66" t="s">
        <v>49</v>
      </c>
      <c r="D66" s="1">
        <v>5</v>
      </c>
      <c r="E66" s="3">
        <v>75</v>
      </c>
    </row>
    <row r="67" spans="1:5" x14ac:dyDescent="0.25">
      <c r="A67">
        <f>ROW(A66)</f>
        <v>66</v>
      </c>
      <c r="B67" s="8">
        <v>44444</v>
      </c>
      <c r="C67" t="s">
        <v>110</v>
      </c>
      <c r="D67" s="1">
        <v>4</v>
      </c>
      <c r="E67" s="3">
        <v>60</v>
      </c>
    </row>
    <row r="68" spans="1:5" x14ac:dyDescent="0.25">
      <c r="A68">
        <f>ROW(A67)</f>
        <v>67</v>
      </c>
      <c r="B68" s="8">
        <v>44444</v>
      </c>
      <c r="C68" t="s">
        <v>56</v>
      </c>
      <c r="D68" s="1">
        <v>4</v>
      </c>
      <c r="E68" s="3">
        <v>60</v>
      </c>
    </row>
    <row r="69" spans="1:5" x14ac:dyDescent="0.25">
      <c r="A69">
        <f>ROW(A68)</f>
        <v>68</v>
      </c>
      <c r="B69" s="8">
        <v>44444</v>
      </c>
      <c r="C69" t="s">
        <v>14</v>
      </c>
      <c r="D69" s="1">
        <v>1</v>
      </c>
      <c r="E69" s="3">
        <v>15</v>
      </c>
    </row>
    <row r="70" spans="1:5" x14ac:dyDescent="0.25">
      <c r="A70">
        <f>ROW(A69)</f>
        <v>69</v>
      </c>
      <c r="B70" s="8">
        <v>44444</v>
      </c>
      <c r="C70" t="s">
        <v>57</v>
      </c>
      <c r="D70" s="1">
        <v>1</v>
      </c>
      <c r="E70" s="3">
        <v>15</v>
      </c>
    </row>
    <row r="71" spans="1:5" x14ac:dyDescent="0.25">
      <c r="A71">
        <f>ROW(A70)</f>
        <v>70</v>
      </c>
      <c r="B71" s="8">
        <v>44444</v>
      </c>
      <c r="C71" t="s">
        <v>124</v>
      </c>
      <c r="D71" s="1">
        <v>1</v>
      </c>
      <c r="E71" s="3">
        <v>15</v>
      </c>
    </row>
    <row r="72" spans="1:5" x14ac:dyDescent="0.25">
      <c r="A72">
        <f>ROW(A71)</f>
        <v>71</v>
      </c>
      <c r="B72" s="8">
        <v>44444</v>
      </c>
      <c r="C72" t="s">
        <v>76</v>
      </c>
      <c r="D72" s="1">
        <v>4</v>
      </c>
      <c r="E72" s="3">
        <v>60</v>
      </c>
    </row>
    <row r="73" spans="1:5" x14ac:dyDescent="0.25">
      <c r="A73">
        <f>ROW(A72)</f>
        <v>72</v>
      </c>
      <c r="B73" s="8">
        <v>44444</v>
      </c>
      <c r="C73" t="s">
        <v>51</v>
      </c>
      <c r="D73" s="1">
        <v>3</v>
      </c>
      <c r="E73" s="3">
        <v>45</v>
      </c>
    </row>
    <row r="74" spans="1:5" x14ac:dyDescent="0.25">
      <c r="A74">
        <f>ROW(A73)</f>
        <v>73</v>
      </c>
      <c r="B74" s="8">
        <v>44444</v>
      </c>
      <c r="C74" t="s">
        <v>58</v>
      </c>
      <c r="D74" s="1">
        <v>3</v>
      </c>
      <c r="E74" s="3">
        <v>45</v>
      </c>
    </row>
    <row r="75" spans="1:5" x14ac:dyDescent="0.25">
      <c r="A75">
        <f>ROW(A74)</f>
        <v>74</v>
      </c>
      <c r="B75" s="8">
        <v>44445</v>
      </c>
      <c r="C75" t="s">
        <v>101</v>
      </c>
      <c r="D75" s="1">
        <v>7</v>
      </c>
      <c r="E75" s="3">
        <v>105</v>
      </c>
    </row>
    <row r="76" spans="1:5" x14ac:dyDescent="0.25">
      <c r="A76">
        <f>ROW(A75)</f>
        <v>75</v>
      </c>
      <c r="B76" s="8">
        <v>44445</v>
      </c>
      <c r="C76" t="s">
        <v>146</v>
      </c>
      <c r="D76" s="1">
        <v>2</v>
      </c>
      <c r="E76" s="3">
        <v>30</v>
      </c>
    </row>
    <row r="77" spans="1:5" x14ac:dyDescent="0.25">
      <c r="A77">
        <f>ROW(A76)</f>
        <v>76</v>
      </c>
      <c r="B77" s="8">
        <v>44445</v>
      </c>
      <c r="C77" t="s">
        <v>42</v>
      </c>
      <c r="D77" s="1">
        <v>7</v>
      </c>
      <c r="E77" s="3">
        <v>105</v>
      </c>
    </row>
    <row r="78" spans="1:5" x14ac:dyDescent="0.25">
      <c r="A78">
        <f>ROW(A77)</f>
        <v>77</v>
      </c>
      <c r="B78" s="8">
        <v>44445</v>
      </c>
      <c r="C78" t="s">
        <v>139</v>
      </c>
      <c r="D78" s="1">
        <v>2</v>
      </c>
      <c r="E78" s="3">
        <v>30</v>
      </c>
    </row>
    <row r="79" spans="1:5" x14ac:dyDescent="0.25">
      <c r="A79">
        <f>ROW(A78)</f>
        <v>78</v>
      </c>
      <c r="B79" s="8">
        <v>44445</v>
      </c>
      <c r="C79" t="s">
        <v>45</v>
      </c>
      <c r="D79" s="1">
        <v>2</v>
      </c>
      <c r="E79" s="3">
        <v>30</v>
      </c>
    </row>
    <row r="80" spans="1:5" x14ac:dyDescent="0.25">
      <c r="A80">
        <f>ROW(A79)</f>
        <v>79</v>
      </c>
      <c r="B80" s="8">
        <v>44445</v>
      </c>
      <c r="C80" t="s">
        <v>16</v>
      </c>
      <c r="D80" s="1">
        <v>1</v>
      </c>
      <c r="E80" s="3">
        <v>12</v>
      </c>
    </row>
    <row r="81" spans="1:5" x14ac:dyDescent="0.25">
      <c r="A81">
        <f>ROW(A80)</f>
        <v>80</v>
      </c>
      <c r="B81" s="8">
        <v>44447</v>
      </c>
      <c r="C81" t="s">
        <v>79</v>
      </c>
      <c r="D81" s="1">
        <v>3</v>
      </c>
      <c r="E81" s="3">
        <v>45</v>
      </c>
    </row>
    <row r="82" spans="1:5" x14ac:dyDescent="0.25">
      <c r="A82">
        <f>ROW(A81)</f>
        <v>81</v>
      </c>
      <c r="B82" s="8">
        <v>44447</v>
      </c>
      <c r="C82" t="s">
        <v>59</v>
      </c>
      <c r="D82" s="1">
        <v>10</v>
      </c>
      <c r="E82" s="3">
        <f>(D82)*(VLOOKUP(C82,CLIENTES,2,FALSE))</f>
        <v>150</v>
      </c>
    </row>
    <row r="83" spans="1:5" x14ac:dyDescent="0.25">
      <c r="A83">
        <f>ROW(A82)</f>
        <v>82</v>
      </c>
      <c r="B83" s="8">
        <v>44447</v>
      </c>
      <c r="C83" t="s">
        <v>43</v>
      </c>
      <c r="D83" s="1">
        <v>3</v>
      </c>
      <c r="E83" s="3">
        <v>45</v>
      </c>
    </row>
    <row r="84" spans="1:5" x14ac:dyDescent="0.25">
      <c r="A84">
        <f>ROW(A83)</f>
        <v>83</v>
      </c>
      <c r="B84" s="8">
        <v>44447</v>
      </c>
      <c r="C84" t="s">
        <v>60</v>
      </c>
      <c r="D84" s="1">
        <v>3</v>
      </c>
      <c r="E84" s="3">
        <v>45</v>
      </c>
    </row>
    <row r="85" spans="1:5" x14ac:dyDescent="0.25">
      <c r="A85">
        <f>ROW(A84)</f>
        <v>84</v>
      </c>
      <c r="B85" s="8">
        <v>44447</v>
      </c>
      <c r="C85" t="s">
        <v>122</v>
      </c>
      <c r="D85" s="1">
        <v>11</v>
      </c>
      <c r="E85" s="3">
        <v>165</v>
      </c>
    </row>
    <row r="86" spans="1:5" x14ac:dyDescent="0.25">
      <c r="A86">
        <f>ROW(A85)</f>
        <v>85</v>
      </c>
      <c r="B86" s="8">
        <v>44447</v>
      </c>
      <c r="C86" t="s">
        <v>41</v>
      </c>
      <c r="D86" s="1">
        <v>2</v>
      </c>
      <c r="E86" s="3">
        <v>30</v>
      </c>
    </row>
    <row r="87" spans="1:5" x14ac:dyDescent="0.25">
      <c r="A87">
        <f>ROW(A86)</f>
        <v>86</v>
      </c>
      <c r="B87" s="8">
        <v>44447</v>
      </c>
      <c r="C87" t="s">
        <v>64</v>
      </c>
      <c r="D87" s="1">
        <v>5</v>
      </c>
      <c r="E87" s="3">
        <v>60</v>
      </c>
    </row>
    <row r="88" spans="1:5" x14ac:dyDescent="0.25">
      <c r="A88">
        <f>ROW(A87)</f>
        <v>87</v>
      </c>
      <c r="B88" s="8">
        <v>44447</v>
      </c>
      <c r="C88" t="s">
        <v>145</v>
      </c>
      <c r="D88" s="1">
        <v>1</v>
      </c>
      <c r="E88" s="3">
        <v>15</v>
      </c>
    </row>
    <row r="89" spans="1:5" x14ac:dyDescent="0.25">
      <c r="A89">
        <f>ROW(A88)</f>
        <v>88</v>
      </c>
      <c r="B89" s="8">
        <v>44447</v>
      </c>
      <c r="C89" t="s">
        <v>147</v>
      </c>
      <c r="D89" s="1">
        <v>2</v>
      </c>
      <c r="E89" s="3">
        <v>30</v>
      </c>
    </row>
    <row r="90" spans="1:5" x14ac:dyDescent="0.25">
      <c r="A90">
        <f>ROW(A89)</f>
        <v>89</v>
      </c>
      <c r="B90" s="8">
        <v>44447</v>
      </c>
      <c r="C90" t="s">
        <v>128</v>
      </c>
      <c r="D90" s="1">
        <v>5</v>
      </c>
      <c r="E90" s="3">
        <v>75</v>
      </c>
    </row>
    <row r="91" spans="1:5" x14ac:dyDescent="0.25">
      <c r="A91">
        <f>ROW(A90)</f>
        <v>90</v>
      </c>
      <c r="B91" s="8">
        <v>44447</v>
      </c>
      <c r="C91" t="s">
        <v>76</v>
      </c>
      <c r="D91" s="1">
        <v>4</v>
      </c>
      <c r="E91" s="3">
        <v>60</v>
      </c>
    </row>
    <row r="92" spans="1:5" x14ac:dyDescent="0.25">
      <c r="A92">
        <f>ROW(A91)</f>
        <v>91</v>
      </c>
      <c r="B92" s="8">
        <v>44447</v>
      </c>
      <c r="C92" t="s">
        <v>61</v>
      </c>
      <c r="D92" s="1">
        <v>2</v>
      </c>
      <c r="E92" s="3">
        <v>30</v>
      </c>
    </row>
    <row r="93" spans="1:5" x14ac:dyDescent="0.25">
      <c r="A93">
        <f>ROW(A92)</f>
        <v>92</v>
      </c>
      <c r="B93" s="8">
        <v>44447</v>
      </c>
      <c r="C93" t="s">
        <v>42</v>
      </c>
      <c r="D93" s="1">
        <v>4</v>
      </c>
      <c r="E93" s="3">
        <v>60</v>
      </c>
    </row>
    <row r="94" spans="1:5" x14ac:dyDescent="0.25">
      <c r="A94">
        <f>ROW(A93)</f>
        <v>93</v>
      </c>
      <c r="B94" s="8">
        <v>44447</v>
      </c>
      <c r="C94" t="s">
        <v>131</v>
      </c>
      <c r="D94" s="1">
        <v>4</v>
      </c>
      <c r="E94" s="3">
        <v>60</v>
      </c>
    </row>
    <row r="95" spans="1:5" x14ac:dyDescent="0.25">
      <c r="A95">
        <f>ROW(A94)</f>
        <v>94</v>
      </c>
      <c r="B95" s="8">
        <v>44447</v>
      </c>
      <c r="C95" t="s">
        <v>27</v>
      </c>
      <c r="D95" s="1">
        <v>1</v>
      </c>
      <c r="E95" s="3">
        <v>15</v>
      </c>
    </row>
    <row r="96" spans="1:5" x14ac:dyDescent="0.25">
      <c r="A96">
        <f>ROW(A95)</f>
        <v>95</v>
      </c>
      <c r="B96" s="8">
        <v>44447</v>
      </c>
      <c r="C96" t="s">
        <v>33</v>
      </c>
      <c r="D96" s="1">
        <v>2</v>
      </c>
      <c r="E96" s="3">
        <v>30</v>
      </c>
    </row>
    <row r="97" spans="1:5" x14ac:dyDescent="0.25">
      <c r="A97">
        <f>ROW(A96)</f>
        <v>96</v>
      </c>
      <c r="B97" s="8">
        <v>44447</v>
      </c>
      <c r="C97" t="s">
        <v>111</v>
      </c>
      <c r="D97" s="1">
        <v>3</v>
      </c>
      <c r="E97" s="3">
        <v>45</v>
      </c>
    </row>
    <row r="98" spans="1:5" x14ac:dyDescent="0.25">
      <c r="A98">
        <f>ROW(A97)</f>
        <v>97</v>
      </c>
      <c r="B98" s="8">
        <v>44447</v>
      </c>
      <c r="C98" t="s">
        <v>62</v>
      </c>
      <c r="D98" s="1">
        <v>10</v>
      </c>
      <c r="E98" s="3">
        <v>150</v>
      </c>
    </row>
    <row r="99" spans="1:5" x14ac:dyDescent="0.25">
      <c r="A99">
        <f>ROW(A98)</f>
        <v>98</v>
      </c>
      <c r="B99" s="8">
        <v>44447</v>
      </c>
      <c r="C99" t="s">
        <v>56</v>
      </c>
      <c r="D99" s="1">
        <v>3</v>
      </c>
      <c r="E99" s="3">
        <v>45</v>
      </c>
    </row>
    <row r="100" spans="1:5" x14ac:dyDescent="0.25">
      <c r="A100">
        <f>ROW(A99)</f>
        <v>99</v>
      </c>
      <c r="B100" s="8">
        <v>44447</v>
      </c>
      <c r="C100" t="s">
        <v>37</v>
      </c>
      <c r="D100" s="1">
        <v>4</v>
      </c>
      <c r="E100" s="3">
        <v>60</v>
      </c>
    </row>
    <row r="101" spans="1:5" x14ac:dyDescent="0.25">
      <c r="A101">
        <f>ROW(A100)</f>
        <v>100</v>
      </c>
      <c r="B101" s="8">
        <v>44447</v>
      </c>
      <c r="C101" t="s">
        <v>97</v>
      </c>
      <c r="D101" s="1">
        <v>5</v>
      </c>
      <c r="E101" s="3">
        <v>75</v>
      </c>
    </row>
    <row r="102" spans="1:5" x14ac:dyDescent="0.25">
      <c r="A102">
        <f>ROW(A101)</f>
        <v>101</v>
      </c>
      <c r="B102" s="8">
        <v>44447</v>
      </c>
      <c r="C102" t="s">
        <v>33</v>
      </c>
      <c r="D102" s="1">
        <v>6</v>
      </c>
      <c r="E102" s="3">
        <v>90</v>
      </c>
    </row>
    <row r="103" spans="1:5" x14ac:dyDescent="0.25">
      <c r="A103">
        <f>ROW(A102)</f>
        <v>102</v>
      </c>
      <c r="B103" s="8">
        <v>44447</v>
      </c>
      <c r="C103" t="s">
        <v>119</v>
      </c>
      <c r="D103" s="1">
        <v>8</v>
      </c>
      <c r="E103" s="3">
        <v>120</v>
      </c>
    </row>
    <row r="104" spans="1:5" x14ac:dyDescent="0.25">
      <c r="A104">
        <f>ROW(A103)</f>
        <v>103</v>
      </c>
      <c r="B104" s="8">
        <v>44449</v>
      </c>
      <c r="C104" t="s">
        <v>40</v>
      </c>
      <c r="D104" s="1">
        <v>5</v>
      </c>
      <c r="E104" s="3">
        <v>75</v>
      </c>
    </row>
    <row r="105" spans="1:5" x14ac:dyDescent="0.25">
      <c r="A105">
        <f>ROW(A104)</f>
        <v>104</v>
      </c>
      <c r="B105" s="8">
        <v>44449</v>
      </c>
      <c r="C105" t="s">
        <v>143</v>
      </c>
      <c r="D105" s="1">
        <v>1</v>
      </c>
      <c r="E105" s="3">
        <v>15</v>
      </c>
    </row>
    <row r="106" spans="1:5" x14ac:dyDescent="0.25">
      <c r="A106">
        <f>ROW(A105)</f>
        <v>105</v>
      </c>
      <c r="B106" s="8">
        <v>44449</v>
      </c>
      <c r="C106" t="s">
        <v>29</v>
      </c>
      <c r="D106" s="1">
        <v>4</v>
      </c>
      <c r="E106" s="3">
        <v>60</v>
      </c>
    </row>
    <row r="107" spans="1:5" x14ac:dyDescent="0.25">
      <c r="A107">
        <f>ROW(A106)</f>
        <v>106</v>
      </c>
      <c r="B107" s="8">
        <v>44449</v>
      </c>
      <c r="C107" t="s">
        <v>47</v>
      </c>
      <c r="D107" s="1">
        <v>1</v>
      </c>
      <c r="E107" s="3">
        <v>15</v>
      </c>
    </row>
    <row r="108" spans="1:5" x14ac:dyDescent="0.25">
      <c r="A108">
        <f>ROW(A107)</f>
        <v>107</v>
      </c>
      <c r="B108" s="8">
        <v>44449</v>
      </c>
      <c r="C108" t="s">
        <v>57</v>
      </c>
      <c r="D108" s="1">
        <v>1</v>
      </c>
      <c r="E108" s="3">
        <v>15</v>
      </c>
    </row>
    <row r="109" spans="1:5" x14ac:dyDescent="0.25">
      <c r="A109">
        <f>ROW(A108)</f>
        <v>108</v>
      </c>
      <c r="B109" s="8">
        <v>44449</v>
      </c>
      <c r="C109" t="s">
        <v>104</v>
      </c>
      <c r="D109" s="1">
        <v>1</v>
      </c>
      <c r="E109" s="3">
        <v>15</v>
      </c>
    </row>
    <row r="110" spans="1:5" x14ac:dyDescent="0.25">
      <c r="A110">
        <f>ROW(A109)</f>
        <v>109</v>
      </c>
      <c r="B110" s="8">
        <v>44449</v>
      </c>
      <c r="C110" t="s">
        <v>52</v>
      </c>
      <c r="D110" s="1">
        <v>2</v>
      </c>
      <c r="E110" s="3">
        <v>30</v>
      </c>
    </row>
    <row r="111" spans="1:5" x14ac:dyDescent="0.25">
      <c r="A111">
        <f>ROW(A110)</f>
        <v>110</v>
      </c>
      <c r="B111" s="8">
        <v>44449</v>
      </c>
      <c r="C111" t="s">
        <v>63</v>
      </c>
      <c r="D111" s="1">
        <v>10</v>
      </c>
      <c r="E111" s="3">
        <v>120</v>
      </c>
    </row>
    <row r="112" spans="1:5" x14ac:dyDescent="0.25">
      <c r="A112">
        <f>ROW(A111)</f>
        <v>111</v>
      </c>
      <c r="B112" s="8">
        <v>44449</v>
      </c>
      <c r="C112" t="s">
        <v>125</v>
      </c>
      <c r="D112" s="1">
        <v>4</v>
      </c>
      <c r="E112" s="3">
        <v>60</v>
      </c>
    </row>
    <row r="113" spans="1:5" x14ac:dyDescent="0.25">
      <c r="A113">
        <f>ROW(A112)</f>
        <v>112</v>
      </c>
      <c r="B113" s="8">
        <v>44449</v>
      </c>
      <c r="C113" t="s">
        <v>64</v>
      </c>
      <c r="D113" s="1">
        <v>1</v>
      </c>
      <c r="E113" s="3">
        <v>12</v>
      </c>
    </row>
    <row r="114" spans="1:5" x14ac:dyDescent="0.25">
      <c r="A114">
        <f>ROW(A113)</f>
        <v>113</v>
      </c>
      <c r="B114" s="8">
        <v>44449</v>
      </c>
      <c r="C114" t="s">
        <v>79</v>
      </c>
      <c r="D114" s="1">
        <v>3</v>
      </c>
      <c r="E114" s="3">
        <v>45</v>
      </c>
    </row>
    <row r="115" spans="1:5" x14ac:dyDescent="0.25">
      <c r="A115">
        <f>ROW(A114)</f>
        <v>114</v>
      </c>
      <c r="B115" s="8">
        <v>44449</v>
      </c>
      <c r="C115" t="s">
        <v>140</v>
      </c>
      <c r="D115" s="1">
        <v>2</v>
      </c>
      <c r="E115" s="3">
        <v>30</v>
      </c>
    </row>
    <row r="116" spans="1:5" x14ac:dyDescent="0.25">
      <c r="A116">
        <f>ROW(A115)</f>
        <v>115</v>
      </c>
      <c r="B116" s="8">
        <v>44449</v>
      </c>
      <c r="C116" t="s">
        <v>49</v>
      </c>
      <c r="D116" s="1">
        <v>4</v>
      </c>
      <c r="E116" s="3">
        <v>60</v>
      </c>
    </row>
    <row r="117" spans="1:5" x14ac:dyDescent="0.25">
      <c r="A117">
        <f>ROW(A116)</f>
        <v>116</v>
      </c>
      <c r="B117" s="8">
        <v>44449</v>
      </c>
      <c r="C117" t="s">
        <v>116</v>
      </c>
      <c r="D117" s="1">
        <v>1</v>
      </c>
      <c r="E117" s="3">
        <v>15</v>
      </c>
    </row>
    <row r="118" spans="1:5" x14ac:dyDescent="0.25">
      <c r="A118">
        <f>ROW(A117)</f>
        <v>117</v>
      </c>
      <c r="B118" s="8">
        <v>44449</v>
      </c>
      <c r="C118" t="s">
        <v>75</v>
      </c>
      <c r="D118" s="1">
        <v>1</v>
      </c>
      <c r="E118" s="3">
        <v>15</v>
      </c>
    </row>
    <row r="119" spans="1:5" x14ac:dyDescent="0.25">
      <c r="A119">
        <f>ROW(A118)</f>
        <v>118</v>
      </c>
      <c r="B119" s="8">
        <v>44449</v>
      </c>
      <c r="C119" t="s">
        <v>114</v>
      </c>
      <c r="D119" s="1">
        <v>1</v>
      </c>
      <c r="E119" s="3">
        <v>15</v>
      </c>
    </row>
    <row r="120" spans="1:5" x14ac:dyDescent="0.25">
      <c r="A120">
        <f>ROW(A119)</f>
        <v>119</v>
      </c>
      <c r="B120" s="8">
        <v>44449</v>
      </c>
      <c r="C120" t="s">
        <v>46</v>
      </c>
      <c r="D120" s="1">
        <v>1</v>
      </c>
      <c r="E120" s="3">
        <v>15</v>
      </c>
    </row>
    <row r="121" spans="1:5" x14ac:dyDescent="0.25">
      <c r="A121">
        <f>ROW(A120)</f>
        <v>120</v>
      </c>
      <c r="B121" s="8">
        <v>44449</v>
      </c>
      <c r="C121" t="s">
        <v>54</v>
      </c>
      <c r="D121" s="1">
        <v>3</v>
      </c>
      <c r="E121" s="3">
        <v>45</v>
      </c>
    </row>
    <row r="122" spans="1:5" x14ac:dyDescent="0.25">
      <c r="A122">
        <f>ROW(A121)</f>
        <v>121</v>
      </c>
      <c r="B122" s="8">
        <v>44449</v>
      </c>
      <c r="C122" t="s">
        <v>137</v>
      </c>
      <c r="D122" s="1">
        <v>2</v>
      </c>
      <c r="E122" s="3">
        <v>30</v>
      </c>
    </row>
    <row r="123" spans="1:5" x14ac:dyDescent="0.25">
      <c r="A123">
        <f>ROW(A122)</f>
        <v>122</v>
      </c>
      <c r="B123" s="8">
        <v>44449</v>
      </c>
      <c r="C123" t="s">
        <v>111</v>
      </c>
      <c r="D123" s="1">
        <v>3</v>
      </c>
      <c r="E123" s="3">
        <v>45</v>
      </c>
    </row>
    <row r="124" spans="1:5" x14ac:dyDescent="0.25">
      <c r="A124">
        <f>ROW(A123)</f>
        <v>123</v>
      </c>
      <c r="B124" s="8">
        <v>44449</v>
      </c>
      <c r="C124" t="s">
        <v>65</v>
      </c>
      <c r="D124" s="1">
        <v>1</v>
      </c>
      <c r="E124" s="3">
        <v>15</v>
      </c>
    </row>
    <row r="125" spans="1:5" x14ac:dyDescent="0.25">
      <c r="A125">
        <f>ROW(A124)</f>
        <v>124</v>
      </c>
      <c r="B125" s="8">
        <v>44450</v>
      </c>
      <c r="C125" t="s">
        <v>66</v>
      </c>
      <c r="D125" s="1">
        <v>6</v>
      </c>
      <c r="E125" s="3">
        <v>90</v>
      </c>
    </row>
    <row r="126" spans="1:5" x14ac:dyDescent="0.25">
      <c r="A126">
        <f>ROW(A125)</f>
        <v>125</v>
      </c>
      <c r="B126" s="8">
        <v>44450</v>
      </c>
      <c r="C126" t="s">
        <v>106</v>
      </c>
      <c r="D126" s="1">
        <v>2</v>
      </c>
      <c r="E126" s="3">
        <v>30</v>
      </c>
    </row>
    <row r="127" spans="1:5" x14ac:dyDescent="0.25">
      <c r="A127">
        <f>ROW(A126)</f>
        <v>126</v>
      </c>
      <c r="B127" s="8">
        <v>44450</v>
      </c>
      <c r="C127" t="s">
        <v>55</v>
      </c>
      <c r="D127" s="1">
        <v>4</v>
      </c>
      <c r="E127" s="3">
        <v>60</v>
      </c>
    </row>
    <row r="128" spans="1:5" x14ac:dyDescent="0.25">
      <c r="A128">
        <f>ROW(A127)</f>
        <v>127</v>
      </c>
      <c r="B128" s="8">
        <v>44450</v>
      </c>
      <c r="C128" t="s">
        <v>67</v>
      </c>
      <c r="D128" s="1">
        <v>3</v>
      </c>
      <c r="E128" s="3">
        <v>45</v>
      </c>
    </row>
    <row r="129" spans="1:5" x14ac:dyDescent="0.25">
      <c r="A129">
        <f>ROW(A128)</f>
        <v>128</v>
      </c>
      <c r="B129" s="8">
        <v>44450</v>
      </c>
      <c r="C129" t="s">
        <v>42</v>
      </c>
      <c r="D129" s="1">
        <v>3</v>
      </c>
      <c r="E129" s="3">
        <v>45</v>
      </c>
    </row>
    <row r="130" spans="1:5" x14ac:dyDescent="0.25">
      <c r="A130">
        <f>ROW(A129)</f>
        <v>129</v>
      </c>
      <c r="B130" s="8">
        <v>44450</v>
      </c>
      <c r="C130" t="s">
        <v>33</v>
      </c>
      <c r="D130" s="1">
        <v>4</v>
      </c>
      <c r="E130" s="3">
        <v>60</v>
      </c>
    </row>
    <row r="131" spans="1:5" x14ac:dyDescent="0.25">
      <c r="A131">
        <f>ROW(A130)</f>
        <v>130</v>
      </c>
      <c r="B131" s="8">
        <v>44450</v>
      </c>
      <c r="C131" t="s">
        <v>42</v>
      </c>
      <c r="D131" s="1">
        <v>1</v>
      </c>
      <c r="E131" s="3">
        <v>15</v>
      </c>
    </row>
    <row r="132" spans="1:5" x14ac:dyDescent="0.25">
      <c r="A132">
        <f>ROW(A131)</f>
        <v>131</v>
      </c>
      <c r="B132" s="8">
        <v>44450</v>
      </c>
      <c r="C132" t="s">
        <v>68</v>
      </c>
      <c r="D132" s="1">
        <v>12</v>
      </c>
      <c r="E132" s="3">
        <v>180</v>
      </c>
    </row>
    <row r="133" spans="1:5" x14ac:dyDescent="0.25">
      <c r="A133">
        <f>ROW(A132)</f>
        <v>132</v>
      </c>
      <c r="B133" s="8">
        <v>44450</v>
      </c>
      <c r="C133" t="s">
        <v>118</v>
      </c>
      <c r="D133" s="1">
        <v>9</v>
      </c>
      <c r="E133" s="3">
        <v>135</v>
      </c>
    </row>
    <row r="134" spans="1:5" x14ac:dyDescent="0.25">
      <c r="A134">
        <f>ROW(A133)</f>
        <v>133</v>
      </c>
      <c r="B134" s="8">
        <v>44450</v>
      </c>
      <c r="C134" t="s">
        <v>123</v>
      </c>
      <c r="D134" s="1">
        <v>4</v>
      </c>
      <c r="E134" s="3">
        <v>60</v>
      </c>
    </row>
    <row r="135" spans="1:5" x14ac:dyDescent="0.25">
      <c r="A135">
        <f>ROW(A134)</f>
        <v>134</v>
      </c>
      <c r="B135" s="8">
        <v>44450</v>
      </c>
      <c r="C135" t="s">
        <v>135</v>
      </c>
      <c r="D135" s="1">
        <v>4</v>
      </c>
      <c r="E135" s="3">
        <v>60</v>
      </c>
    </row>
    <row r="136" spans="1:5" x14ac:dyDescent="0.25">
      <c r="A136">
        <f>ROW(A135)</f>
        <v>135</v>
      </c>
      <c r="B136" s="8">
        <v>44452</v>
      </c>
      <c r="C136" t="s">
        <v>79</v>
      </c>
      <c r="D136" s="1">
        <v>3</v>
      </c>
      <c r="E136" s="3">
        <v>45</v>
      </c>
    </row>
    <row r="137" spans="1:5" x14ac:dyDescent="0.25">
      <c r="A137">
        <f>ROW(A136)</f>
        <v>136</v>
      </c>
      <c r="B137" s="8">
        <v>44452</v>
      </c>
      <c r="C137" t="s">
        <v>93</v>
      </c>
      <c r="D137" s="1">
        <v>3</v>
      </c>
      <c r="E137" s="3">
        <v>45</v>
      </c>
    </row>
    <row r="138" spans="1:5" x14ac:dyDescent="0.25">
      <c r="A138">
        <f>ROW(A137)</f>
        <v>137</v>
      </c>
      <c r="B138" s="8">
        <v>44452</v>
      </c>
      <c r="C138" t="s">
        <v>69</v>
      </c>
      <c r="D138" s="1">
        <v>3</v>
      </c>
      <c r="E138" s="3">
        <v>45</v>
      </c>
    </row>
    <row r="139" spans="1:5" x14ac:dyDescent="0.25">
      <c r="A139">
        <f>ROW(A138)</f>
        <v>138</v>
      </c>
      <c r="B139" s="8">
        <v>44452</v>
      </c>
      <c r="C139" t="s">
        <v>41</v>
      </c>
      <c r="D139" s="1">
        <v>2</v>
      </c>
      <c r="E139" s="3">
        <v>30</v>
      </c>
    </row>
    <row r="140" spans="1:5" x14ac:dyDescent="0.25">
      <c r="A140">
        <f>ROW(A139)</f>
        <v>139</v>
      </c>
      <c r="B140" s="8">
        <v>44452</v>
      </c>
      <c r="C140" t="s">
        <v>122</v>
      </c>
      <c r="D140" s="1">
        <v>12</v>
      </c>
      <c r="E140" s="3">
        <v>180</v>
      </c>
    </row>
    <row r="141" spans="1:5" x14ac:dyDescent="0.25">
      <c r="A141">
        <f>ROW(A140)</f>
        <v>140</v>
      </c>
      <c r="B141" s="8">
        <v>44452</v>
      </c>
      <c r="C141" t="s">
        <v>70</v>
      </c>
      <c r="D141" s="1">
        <v>2</v>
      </c>
      <c r="E141" s="3">
        <v>30</v>
      </c>
    </row>
    <row r="142" spans="1:5" x14ac:dyDescent="0.25">
      <c r="A142">
        <f>ROW(A141)</f>
        <v>141</v>
      </c>
      <c r="B142" s="8">
        <v>44452</v>
      </c>
      <c r="C142" t="s">
        <v>43</v>
      </c>
      <c r="D142" s="1">
        <v>2</v>
      </c>
      <c r="E142" s="3">
        <v>30</v>
      </c>
    </row>
    <row r="143" spans="1:5" x14ac:dyDescent="0.25">
      <c r="A143">
        <f>ROW(A142)</f>
        <v>142</v>
      </c>
      <c r="B143" s="8">
        <v>44452</v>
      </c>
      <c r="C143" t="s">
        <v>16</v>
      </c>
      <c r="D143" s="1">
        <v>6</v>
      </c>
      <c r="E143" s="3">
        <v>72</v>
      </c>
    </row>
    <row r="144" spans="1:5" x14ac:dyDescent="0.25">
      <c r="A144">
        <f>ROW(A143)</f>
        <v>143</v>
      </c>
      <c r="B144" s="8">
        <v>44452</v>
      </c>
      <c r="C144" t="s">
        <v>14</v>
      </c>
      <c r="D144" s="1">
        <v>1</v>
      </c>
      <c r="E144" s="3">
        <v>15</v>
      </c>
    </row>
    <row r="145" spans="1:5" x14ac:dyDescent="0.25">
      <c r="A145">
        <f>ROW(A144)</f>
        <v>144</v>
      </c>
      <c r="B145" s="8">
        <v>44452</v>
      </c>
      <c r="C145" t="s">
        <v>47</v>
      </c>
      <c r="D145" s="1">
        <v>1</v>
      </c>
      <c r="E145" s="3">
        <v>15</v>
      </c>
    </row>
    <row r="146" spans="1:5" x14ac:dyDescent="0.25">
      <c r="A146">
        <f>ROW(A145)</f>
        <v>145</v>
      </c>
      <c r="B146" s="8">
        <v>44452</v>
      </c>
      <c r="C146" t="s">
        <v>57</v>
      </c>
      <c r="D146" s="1">
        <v>1</v>
      </c>
      <c r="E146" s="3">
        <v>15</v>
      </c>
    </row>
    <row r="147" spans="1:5" x14ac:dyDescent="0.25">
      <c r="A147">
        <f>ROW(A146)</f>
        <v>146</v>
      </c>
      <c r="B147" s="8">
        <v>44452</v>
      </c>
      <c r="C147" t="s">
        <v>132</v>
      </c>
      <c r="D147" s="1">
        <v>2</v>
      </c>
      <c r="E147" s="3">
        <v>30</v>
      </c>
    </row>
    <row r="148" spans="1:5" x14ac:dyDescent="0.25">
      <c r="A148">
        <f>ROW(A147)</f>
        <v>147</v>
      </c>
      <c r="B148" s="8">
        <v>44452</v>
      </c>
      <c r="C148" t="s">
        <v>61</v>
      </c>
      <c r="D148" s="1">
        <v>2</v>
      </c>
      <c r="E148" s="3">
        <v>30</v>
      </c>
    </row>
    <row r="149" spans="1:5" x14ac:dyDescent="0.25">
      <c r="A149">
        <f>ROW(A148)</f>
        <v>148</v>
      </c>
      <c r="B149" s="8">
        <v>44452</v>
      </c>
      <c r="C149" t="s">
        <v>124</v>
      </c>
      <c r="D149" s="1">
        <v>2</v>
      </c>
      <c r="E149" s="3">
        <v>30</v>
      </c>
    </row>
    <row r="150" spans="1:5" x14ac:dyDescent="0.25">
      <c r="A150">
        <f>ROW(A149)</f>
        <v>149</v>
      </c>
      <c r="B150" s="8">
        <v>44452</v>
      </c>
      <c r="C150" t="s">
        <v>27</v>
      </c>
      <c r="D150" s="1">
        <v>2</v>
      </c>
      <c r="E150" s="3">
        <v>30</v>
      </c>
    </row>
    <row r="151" spans="1:5" x14ac:dyDescent="0.25">
      <c r="A151">
        <f>ROW(A150)</f>
        <v>150</v>
      </c>
      <c r="B151" s="8">
        <v>44452</v>
      </c>
      <c r="C151" t="s">
        <v>71</v>
      </c>
      <c r="D151" s="1">
        <v>3</v>
      </c>
      <c r="E151" s="3">
        <v>45</v>
      </c>
    </row>
    <row r="152" spans="1:5" x14ac:dyDescent="0.25">
      <c r="A152">
        <f>ROW(A151)</f>
        <v>151</v>
      </c>
      <c r="B152" s="8">
        <v>44452</v>
      </c>
      <c r="C152" t="s">
        <v>134</v>
      </c>
      <c r="D152" s="1">
        <v>1</v>
      </c>
      <c r="E152" s="3">
        <v>15</v>
      </c>
    </row>
    <row r="153" spans="1:5" x14ac:dyDescent="0.25">
      <c r="A153">
        <f>ROW(A152)</f>
        <v>152</v>
      </c>
      <c r="B153" s="8">
        <v>44452</v>
      </c>
      <c r="C153" t="s">
        <v>72</v>
      </c>
      <c r="D153" s="1">
        <v>6</v>
      </c>
      <c r="E153" s="3">
        <v>90</v>
      </c>
    </row>
    <row r="154" spans="1:5" x14ac:dyDescent="0.25">
      <c r="A154">
        <f>ROW(A153)</f>
        <v>153</v>
      </c>
      <c r="B154" s="8">
        <v>44452</v>
      </c>
      <c r="C154" t="s">
        <v>39</v>
      </c>
      <c r="D154" s="1">
        <v>3</v>
      </c>
      <c r="E154" s="3">
        <v>45</v>
      </c>
    </row>
    <row r="155" spans="1:5" x14ac:dyDescent="0.25">
      <c r="A155">
        <f>ROW(A154)</f>
        <v>154</v>
      </c>
      <c r="B155" s="8">
        <v>44452</v>
      </c>
      <c r="C155" t="s">
        <v>52</v>
      </c>
      <c r="D155" s="1">
        <v>1</v>
      </c>
      <c r="E155" s="3">
        <v>15</v>
      </c>
    </row>
    <row r="156" spans="1:5" x14ac:dyDescent="0.25">
      <c r="A156">
        <f>ROW(A155)</f>
        <v>155</v>
      </c>
      <c r="B156" s="8">
        <v>44452</v>
      </c>
      <c r="C156" t="s">
        <v>111</v>
      </c>
      <c r="D156" s="1">
        <v>2</v>
      </c>
      <c r="E156" s="3">
        <v>30</v>
      </c>
    </row>
    <row r="157" spans="1:5" x14ac:dyDescent="0.25">
      <c r="A157">
        <f>ROW(A156)</f>
        <v>156</v>
      </c>
      <c r="B157" s="8">
        <v>44452</v>
      </c>
      <c r="C157" t="s">
        <v>64</v>
      </c>
      <c r="D157" s="1">
        <v>8</v>
      </c>
      <c r="E157" s="3">
        <f>(D157)*(VLOOKUP(C157,CLIENTES,2,FALSE))</f>
        <v>96</v>
      </c>
    </row>
    <row r="158" spans="1:5" x14ac:dyDescent="0.25">
      <c r="A158">
        <f>ROW(A157)</f>
        <v>157</v>
      </c>
      <c r="B158" s="8">
        <v>44453</v>
      </c>
      <c r="C158" t="s">
        <v>125</v>
      </c>
      <c r="D158" s="1">
        <v>7</v>
      </c>
      <c r="E158" s="3" t="e">
        <f>(D158)*(VLOOKUP(C158,CLIENTES,2,FALSE))</f>
        <v>#N/A</v>
      </c>
    </row>
    <row r="159" spans="1:5" x14ac:dyDescent="0.25">
      <c r="A159">
        <f>ROW(A158)</f>
        <v>158</v>
      </c>
      <c r="B159" s="8">
        <v>44453</v>
      </c>
      <c r="C159" t="s">
        <v>114</v>
      </c>
      <c r="D159" s="1">
        <v>1</v>
      </c>
      <c r="E159" s="3">
        <f>(D159)*(VLOOKUP(C159,CLIENTES,2,FALSE))</f>
        <v>15</v>
      </c>
    </row>
    <row r="160" spans="1:5" x14ac:dyDescent="0.25">
      <c r="A160">
        <f>ROW(A159)</f>
        <v>159</v>
      </c>
      <c r="B160" s="8">
        <v>44453</v>
      </c>
      <c r="C160" t="s">
        <v>33</v>
      </c>
      <c r="D160" s="1">
        <v>5</v>
      </c>
      <c r="E160" s="3">
        <f>(D160)*(VLOOKUP(C160,CLIENTES,2,FALSE))</f>
        <v>75</v>
      </c>
    </row>
    <row r="161" spans="1:5" x14ac:dyDescent="0.25">
      <c r="A161">
        <f>ROW(A160)</f>
        <v>160</v>
      </c>
      <c r="B161" s="8">
        <v>44453</v>
      </c>
      <c r="C161" t="s">
        <v>36</v>
      </c>
      <c r="D161" s="1">
        <v>6</v>
      </c>
      <c r="E161" s="3">
        <f>(D161)*(VLOOKUP(C161,CLIENTES,2,FALSE))</f>
        <v>90</v>
      </c>
    </row>
    <row r="162" spans="1:5" x14ac:dyDescent="0.25">
      <c r="A162">
        <f>ROW(A161)</f>
        <v>161</v>
      </c>
      <c r="B162" s="8">
        <v>44453</v>
      </c>
      <c r="C162" t="s">
        <v>66</v>
      </c>
      <c r="D162" s="1">
        <v>4</v>
      </c>
      <c r="E162" s="3">
        <f>(D162)*(VLOOKUP(C162,CLIENTES,2,FALSE))</f>
        <v>60</v>
      </c>
    </row>
    <row r="163" spans="1:5" x14ac:dyDescent="0.25">
      <c r="A163">
        <f>ROW(A162)</f>
        <v>162</v>
      </c>
      <c r="B163" s="8">
        <v>44453</v>
      </c>
      <c r="C163" t="s">
        <v>130</v>
      </c>
      <c r="D163" s="1">
        <v>2</v>
      </c>
      <c r="E163" s="3" t="e">
        <f>(D163)*(VLOOKUP(C163,CLIENTES,2,FALSE))</f>
        <v>#N/A</v>
      </c>
    </row>
    <row r="164" spans="1:5" x14ac:dyDescent="0.25">
      <c r="A164">
        <f>ROW(A163)</f>
        <v>163</v>
      </c>
      <c r="B164" s="8">
        <v>44453</v>
      </c>
      <c r="C164" t="s">
        <v>73</v>
      </c>
      <c r="D164" s="1">
        <v>2</v>
      </c>
      <c r="E164" s="3">
        <f>(D164)*(VLOOKUP(C164,CLIENTES,2,FALSE))</f>
        <v>30</v>
      </c>
    </row>
    <row r="165" spans="1:5" x14ac:dyDescent="0.25">
      <c r="A165">
        <f>ROW(A164)</f>
        <v>164</v>
      </c>
      <c r="B165" s="8">
        <v>44454</v>
      </c>
      <c r="C165" t="s">
        <v>62</v>
      </c>
      <c r="D165" s="1">
        <v>10</v>
      </c>
      <c r="E165" s="3">
        <f>(D165)*(VLOOKUP(C165,CLIENTES,2,FALSE))</f>
        <v>150</v>
      </c>
    </row>
    <row r="166" spans="1:5" x14ac:dyDescent="0.25">
      <c r="A166">
        <f>ROW(A165)</f>
        <v>165</v>
      </c>
      <c r="B166" s="8">
        <v>44454</v>
      </c>
      <c r="C166" t="s">
        <v>106</v>
      </c>
      <c r="D166" s="1">
        <v>2</v>
      </c>
      <c r="E166" s="3">
        <f>(D166)*(VLOOKUP(C166,CLIENTES,2,FALSE))</f>
        <v>30</v>
      </c>
    </row>
    <row r="167" spans="1:5" x14ac:dyDescent="0.25">
      <c r="A167">
        <f>ROW(A166)</f>
        <v>166</v>
      </c>
      <c r="B167" s="8">
        <v>44454</v>
      </c>
      <c r="C167" t="s">
        <v>97</v>
      </c>
      <c r="D167" s="1">
        <v>2</v>
      </c>
      <c r="E167" s="3">
        <f>(D167)*(VLOOKUP(C167,CLIENTES,2,FALSE))</f>
        <v>30</v>
      </c>
    </row>
    <row r="168" spans="1:5" x14ac:dyDescent="0.25">
      <c r="A168">
        <f>ROW(A167)</f>
        <v>167</v>
      </c>
      <c r="B168" s="8">
        <v>44454</v>
      </c>
      <c r="C168" t="s">
        <v>74</v>
      </c>
      <c r="D168" s="1">
        <v>5</v>
      </c>
      <c r="E168" s="3">
        <f>(D168)*(VLOOKUP(C168,CLIENTES,2,FALSE))</f>
        <v>75</v>
      </c>
    </row>
    <row r="169" spans="1:5" x14ac:dyDescent="0.25">
      <c r="A169">
        <f>ROW(A168)</f>
        <v>168</v>
      </c>
      <c r="B169" s="8">
        <v>44454</v>
      </c>
      <c r="C169" t="s">
        <v>14</v>
      </c>
      <c r="D169" s="1">
        <v>1</v>
      </c>
      <c r="E169" s="3">
        <f>(D169)*(VLOOKUP(C169,CLIENTES,2,FALSE))</f>
        <v>15</v>
      </c>
    </row>
    <row r="170" spans="1:5" x14ac:dyDescent="0.25">
      <c r="A170">
        <f>ROW(A169)</f>
        <v>169</v>
      </c>
      <c r="B170" s="8">
        <v>44454</v>
      </c>
      <c r="C170" t="s">
        <v>47</v>
      </c>
      <c r="D170" s="1">
        <v>1</v>
      </c>
      <c r="E170" s="3">
        <f>(D170)*(VLOOKUP(C170,CLIENTES,2,FALSE))</f>
        <v>15</v>
      </c>
    </row>
    <row r="171" spans="1:5" x14ac:dyDescent="0.25">
      <c r="A171">
        <f>ROW(A170)</f>
        <v>170</v>
      </c>
      <c r="B171" s="8">
        <v>44454</v>
      </c>
      <c r="C171" t="s">
        <v>131</v>
      </c>
      <c r="D171" s="1">
        <v>6</v>
      </c>
      <c r="E171" s="3" t="e">
        <f>(D171)*(VLOOKUP(C171,CLIENTES,2,FALSE))</f>
        <v>#N/A</v>
      </c>
    </row>
    <row r="172" spans="1:5" x14ac:dyDescent="0.25">
      <c r="A172">
        <f>ROW(A171)</f>
        <v>171</v>
      </c>
      <c r="B172" s="8">
        <v>44454</v>
      </c>
      <c r="C172" t="s">
        <v>124</v>
      </c>
      <c r="D172" s="1">
        <v>1</v>
      </c>
      <c r="E172" s="3">
        <f>(D172)*(VLOOKUP(C172,CLIENTES,2,FALSE))</f>
        <v>15</v>
      </c>
    </row>
    <row r="173" spans="1:5" x14ac:dyDescent="0.25">
      <c r="A173">
        <f>ROW(A172)</f>
        <v>172</v>
      </c>
      <c r="B173" s="8">
        <v>44454</v>
      </c>
      <c r="C173" t="s">
        <v>42</v>
      </c>
      <c r="D173" s="1">
        <v>4</v>
      </c>
      <c r="E173" s="3">
        <f>(D173)*(VLOOKUP(C173,CLIENTES,2,FALSE))</f>
        <v>60</v>
      </c>
    </row>
    <row r="174" spans="1:5" x14ac:dyDescent="0.25">
      <c r="A174">
        <f>ROW(A173)</f>
        <v>173</v>
      </c>
      <c r="B174" s="8">
        <v>44454</v>
      </c>
      <c r="C174" t="s">
        <v>108</v>
      </c>
      <c r="D174" s="1">
        <v>6</v>
      </c>
      <c r="E174" s="3">
        <f>(D174)*(VLOOKUP(C174,CLIENTES,2,FALSE))</f>
        <v>90</v>
      </c>
    </row>
    <row r="175" spans="1:5" x14ac:dyDescent="0.25">
      <c r="A175">
        <f>ROW(A174)</f>
        <v>174</v>
      </c>
      <c r="B175" s="8">
        <v>44454</v>
      </c>
      <c r="C175" t="s">
        <v>110</v>
      </c>
      <c r="D175" s="1">
        <v>5</v>
      </c>
      <c r="E175" s="3">
        <f>(D175)*(VLOOKUP(C175,CLIENTES,2,FALSE))</f>
        <v>75</v>
      </c>
    </row>
    <row r="176" spans="1:5" x14ac:dyDescent="0.25">
      <c r="A176">
        <f>ROW(A175)</f>
        <v>175</v>
      </c>
      <c r="B176" s="8">
        <v>44454</v>
      </c>
      <c r="C176" t="s">
        <v>75</v>
      </c>
      <c r="D176" s="1">
        <v>1</v>
      </c>
      <c r="E176" s="3">
        <f>(D176)*(VLOOKUP(C176,CLIENTES,2,FALSE))</f>
        <v>15</v>
      </c>
    </row>
    <row r="177" spans="1:5" x14ac:dyDescent="0.25">
      <c r="A177">
        <f>ROW(A176)</f>
        <v>176</v>
      </c>
      <c r="B177" s="8">
        <v>44455</v>
      </c>
      <c r="C177" t="s">
        <v>79</v>
      </c>
      <c r="D177" s="1">
        <v>3</v>
      </c>
      <c r="E177" s="3">
        <f>(D177)*(VLOOKUP(C177,CLIENTES,2,FALSE))</f>
        <v>45</v>
      </c>
    </row>
    <row r="178" spans="1:5" x14ac:dyDescent="0.25">
      <c r="A178">
        <f>ROW(A177)</f>
        <v>177</v>
      </c>
      <c r="B178" s="8">
        <v>44455</v>
      </c>
      <c r="C178" t="s">
        <v>48</v>
      </c>
      <c r="D178" s="1">
        <v>7</v>
      </c>
      <c r="E178" s="3">
        <f>(D178)*(VLOOKUP(C178,CLIENTES,2,FALSE))</f>
        <v>91</v>
      </c>
    </row>
    <row r="179" spans="1:5" x14ac:dyDescent="0.25">
      <c r="A179">
        <f>ROW(A178)</f>
        <v>178</v>
      </c>
      <c r="B179" s="8">
        <v>44455</v>
      </c>
      <c r="C179" t="s">
        <v>49</v>
      </c>
      <c r="D179" s="1">
        <v>3</v>
      </c>
      <c r="E179" s="3">
        <f>(D179)*(VLOOKUP(C179,CLIENTES,2,FALSE))</f>
        <v>45</v>
      </c>
    </row>
    <row r="180" spans="1:5" x14ac:dyDescent="0.25">
      <c r="A180">
        <f>ROW(A179)</f>
        <v>179</v>
      </c>
      <c r="B180" s="8">
        <v>44455</v>
      </c>
      <c r="C180" t="s">
        <v>16</v>
      </c>
      <c r="D180" s="1">
        <v>7</v>
      </c>
      <c r="E180" s="3">
        <f>(D180)*(VLOOKUP(C180,CLIENTES,2,FALSE))</f>
        <v>84</v>
      </c>
    </row>
    <row r="181" spans="1:5" x14ac:dyDescent="0.25">
      <c r="A181">
        <f>ROW(A180)</f>
        <v>180</v>
      </c>
      <c r="B181" s="8">
        <v>44456</v>
      </c>
      <c r="C181" t="s">
        <v>93</v>
      </c>
      <c r="D181" s="1">
        <v>3</v>
      </c>
      <c r="E181" s="3">
        <f>(D181)*(VLOOKUP(C181,CLIENTES,2,FALSE))</f>
        <v>45</v>
      </c>
    </row>
    <row r="182" spans="1:5" x14ac:dyDescent="0.25">
      <c r="A182">
        <f>ROW(A181)</f>
        <v>181</v>
      </c>
      <c r="B182" s="8">
        <v>44456</v>
      </c>
      <c r="C182" t="s">
        <v>102</v>
      </c>
      <c r="D182" s="1">
        <v>2</v>
      </c>
      <c r="E182" s="3">
        <f>(D182)*(VLOOKUP(C182,CLIENTES,2,FALSE))</f>
        <v>30</v>
      </c>
    </row>
    <row r="183" spans="1:5" x14ac:dyDescent="0.25">
      <c r="A183">
        <f>ROW(A182)</f>
        <v>182</v>
      </c>
      <c r="B183" s="8">
        <v>44456</v>
      </c>
      <c r="C183" t="s">
        <v>42</v>
      </c>
      <c r="D183" s="1">
        <v>7</v>
      </c>
      <c r="E183" s="3">
        <f>(D183)*(VLOOKUP(C183,CLIENTES,2,FALSE))</f>
        <v>105</v>
      </c>
    </row>
    <row r="184" spans="1:5" x14ac:dyDescent="0.25">
      <c r="A184">
        <f>ROW(A183)</f>
        <v>183</v>
      </c>
      <c r="B184" s="8">
        <v>44456</v>
      </c>
      <c r="C184" t="s">
        <v>111</v>
      </c>
      <c r="D184" s="1">
        <v>5</v>
      </c>
      <c r="E184" s="3">
        <f>(D184)*(VLOOKUP(C184,CLIENTES,2,FALSE))</f>
        <v>75</v>
      </c>
    </row>
    <row r="185" spans="1:5" x14ac:dyDescent="0.25">
      <c r="A185">
        <f>ROW(A184)</f>
        <v>184</v>
      </c>
      <c r="B185" s="8">
        <v>44456</v>
      </c>
      <c r="C185" t="s">
        <v>33</v>
      </c>
      <c r="D185" s="1">
        <v>8</v>
      </c>
      <c r="E185" s="3">
        <f>(D185)*(VLOOKUP(C185,CLIENTES,2,FALSE))</f>
        <v>120</v>
      </c>
    </row>
    <row r="186" spans="1:5" x14ac:dyDescent="0.25">
      <c r="A186">
        <f>ROW(A185)</f>
        <v>185</v>
      </c>
      <c r="B186" s="8">
        <v>44456</v>
      </c>
      <c r="C186" t="s">
        <v>123</v>
      </c>
      <c r="D186" s="1">
        <v>7</v>
      </c>
      <c r="E186" s="3">
        <f>(D186)*(VLOOKUP(C186,CLIENTES,2,FALSE))</f>
        <v>105</v>
      </c>
    </row>
    <row r="187" spans="1:5" x14ac:dyDescent="0.25">
      <c r="A187">
        <f>ROW(A186)</f>
        <v>186</v>
      </c>
      <c r="B187" s="8">
        <v>44456</v>
      </c>
      <c r="C187" t="s">
        <v>81</v>
      </c>
      <c r="D187" s="1">
        <v>3</v>
      </c>
      <c r="E187" s="3">
        <f>(D187)*(VLOOKUP(C187,CLIENTES,2,FALSE))</f>
        <v>45</v>
      </c>
    </row>
    <row r="188" spans="1:5" x14ac:dyDescent="0.25">
      <c r="A188">
        <f>ROW(A187)</f>
        <v>187</v>
      </c>
      <c r="B188" s="8">
        <v>44456</v>
      </c>
      <c r="C188" t="s">
        <v>82</v>
      </c>
      <c r="D188" s="1">
        <v>1</v>
      </c>
      <c r="E188" s="3" t="e">
        <f>(D188)*(VLOOKUP(C188,CLIENTES,2,FALSE))</f>
        <v>#N/A</v>
      </c>
    </row>
    <row r="189" spans="1:5" x14ac:dyDescent="0.25">
      <c r="A189">
        <f>ROW(A188)</f>
        <v>188</v>
      </c>
      <c r="B189" s="8">
        <v>44456</v>
      </c>
      <c r="C189" t="s">
        <v>40</v>
      </c>
      <c r="D189" s="1">
        <v>4</v>
      </c>
      <c r="E189" s="3">
        <f>(D189)*(VLOOKUP(C189,CLIENTES,2,FALSE))</f>
        <v>60</v>
      </c>
    </row>
    <row r="190" spans="1:5" x14ac:dyDescent="0.25">
      <c r="A190">
        <f>ROW(A189)</f>
        <v>189</v>
      </c>
      <c r="B190" s="8">
        <v>44456</v>
      </c>
      <c r="C190" t="s">
        <v>124</v>
      </c>
      <c r="D190" s="1">
        <v>1</v>
      </c>
      <c r="E190" s="3">
        <f>(D190)*(VLOOKUP(C190,CLIENTES,2,FALSE))</f>
        <v>15</v>
      </c>
    </row>
    <row r="191" spans="1:5" x14ac:dyDescent="0.25">
      <c r="A191">
        <f>ROW(A190)</f>
        <v>190</v>
      </c>
      <c r="B191" s="8">
        <v>44456</v>
      </c>
      <c r="C191" t="s">
        <v>58</v>
      </c>
      <c r="D191" s="1">
        <v>4</v>
      </c>
      <c r="E191" s="3">
        <f>(D191)*(VLOOKUP(C191,CLIENTES,2,FALSE))</f>
        <v>60</v>
      </c>
    </row>
    <row r="192" spans="1:5" x14ac:dyDescent="0.25">
      <c r="A192">
        <f>ROW(A191)</f>
        <v>191</v>
      </c>
      <c r="B192" s="8">
        <v>44456</v>
      </c>
      <c r="C192" t="s">
        <v>104</v>
      </c>
      <c r="D192" s="1">
        <v>3</v>
      </c>
      <c r="E192" s="3">
        <f>(D192)*(VLOOKUP(C192,CLIENTES,2,FALSE))</f>
        <v>45</v>
      </c>
    </row>
    <row r="193" spans="1:5" x14ac:dyDescent="0.25">
      <c r="A193">
        <f>ROW(A192)</f>
        <v>192</v>
      </c>
      <c r="B193" s="8">
        <v>44456</v>
      </c>
      <c r="C193" t="s">
        <v>51</v>
      </c>
      <c r="D193" s="1">
        <v>3</v>
      </c>
      <c r="E193" s="3">
        <f>(D193)*(VLOOKUP(C193,CLIENTES,2,FALSE))</f>
        <v>45</v>
      </c>
    </row>
    <row r="194" spans="1:5" x14ac:dyDescent="0.25">
      <c r="A194">
        <f>ROW(A193)</f>
        <v>193</v>
      </c>
      <c r="B194" s="8">
        <v>44456</v>
      </c>
      <c r="C194" t="s">
        <v>52</v>
      </c>
      <c r="D194" s="1">
        <v>2</v>
      </c>
      <c r="E194" s="3" t="e">
        <f>(D194)*(VLOOKUP(C194,CLIENTES,2,FALSE))</f>
        <v>#N/A</v>
      </c>
    </row>
    <row r="195" spans="1:5" x14ac:dyDescent="0.25">
      <c r="A195">
        <f>ROW(A194)</f>
        <v>194</v>
      </c>
      <c r="B195" s="8">
        <v>44456</v>
      </c>
      <c r="C195" t="s">
        <v>57</v>
      </c>
      <c r="D195" s="1">
        <v>1</v>
      </c>
      <c r="E195" s="3">
        <f>(D195)*(VLOOKUP(C195,CLIENTES,2,FALSE))</f>
        <v>15</v>
      </c>
    </row>
    <row r="196" spans="1:5" x14ac:dyDescent="0.25">
      <c r="A196">
        <f>ROW(A195)</f>
        <v>195</v>
      </c>
      <c r="B196" s="8">
        <v>44456</v>
      </c>
      <c r="C196" t="s">
        <v>47</v>
      </c>
      <c r="D196" s="1">
        <v>1</v>
      </c>
      <c r="E196" s="3">
        <f>(D196)*(VLOOKUP(C196,CLIENTES,2,FALSE))</f>
        <v>15</v>
      </c>
    </row>
    <row r="197" spans="1:5" x14ac:dyDescent="0.25">
      <c r="A197">
        <f>ROW(A196)</f>
        <v>196</v>
      </c>
      <c r="B197" s="8">
        <v>44456</v>
      </c>
      <c r="C197" t="s">
        <v>14</v>
      </c>
      <c r="D197" s="1">
        <v>1</v>
      </c>
      <c r="E197" s="3">
        <f>(D197)*(VLOOKUP(C197,CLIENTES,2,FALSE))</f>
        <v>15</v>
      </c>
    </row>
    <row r="198" spans="1:5" x14ac:dyDescent="0.25">
      <c r="A198">
        <f>ROW(A197)</f>
        <v>197</v>
      </c>
      <c r="B198" s="8">
        <v>44456</v>
      </c>
      <c r="C198" t="s">
        <v>83</v>
      </c>
      <c r="D198" s="1">
        <v>5</v>
      </c>
      <c r="E198" s="3">
        <f>(D198)*(VLOOKUP(C198,CLIENTES,2,FALSE))</f>
        <v>75</v>
      </c>
    </row>
    <row r="199" spans="1:5" x14ac:dyDescent="0.25">
      <c r="A199">
        <f>ROW(A198)</f>
        <v>198</v>
      </c>
      <c r="B199" s="8">
        <v>44456</v>
      </c>
      <c r="C199" t="s">
        <v>140</v>
      </c>
      <c r="D199" s="1">
        <v>2</v>
      </c>
      <c r="E199" s="3" t="e">
        <f>(D199)*(VLOOKUP(C199,CLIENTES,2,FALSE))</f>
        <v>#N/A</v>
      </c>
    </row>
    <row r="200" spans="1:5" x14ac:dyDescent="0.25">
      <c r="A200">
        <f>ROW(A199)</f>
        <v>199</v>
      </c>
      <c r="B200" s="8">
        <v>44457</v>
      </c>
      <c r="C200" t="s">
        <v>62</v>
      </c>
      <c r="D200" s="1">
        <v>10</v>
      </c>
      <c r="E200" s="3">
        <f>(D200)*(VLOOKUP(C200,CLIENTES,2,FALSE))</f>
        <v>150</v>
      </c>
    </row>
    <row r="201" spans="1:5" x14ac:dyDescent="0.25">
      <c r="A201">
        <f>ROW(A200)</f>
        <v>200</v>
      </c>
      <c r="B201" s="8">
        <v>44457</v>
      </c>
      <c r="C201" t="s">
        <v>41</v>
      </c>
      <c r="D201" s="1">
        <v>1</v>
      </c>
      <c r="E201" s="3">
        <f>(D201)*(VLOOKUP(C201,CLIENTES,2,FALSE))</f>
        <v>15</v>
      </c>
    </row>
    <row r="202" spans="1:5" x14ac:dyDescent="0.25">
      <c r="A202">
        <f>ROW(A201)</f>
        <v>201</v>
      </c>
      <c r="B202" s="8">
        <v>44457</v>
      </c>
      <c r="C202" t="s">
        <v>114</v>
      </c>
      <c r="D202" s="1">
        <v>2</v>
      </c>
      <c r="E202" s="3">
        <f>(D202)*(VLOOKUP(C202,CLIENTES,2,FALSE))</f>
        <v>30</v>
      </c>
    </row>
    <row r="203" spans="1:5" x14ac:dyDescent="0.25">
      <c r="A203">
        <f>ROW(A202)</f>
        <v>202</v>
      </c>
      <c r="B203" s="8">
        <v>44457</v>
      </c>
      <c r="C203" t="s">
        <v>84</v>
      </c>
      <c r="D203" s="1">
        <v>6</v>
      </c>
      <c r="E203" s="3" t="e">
        <f>(D203)*(VLOOKUP(C203,CLIENTES,2,FALSE))</f>
        <v>#N/A</v>
      </c>
    </row>
    <row r="204" spans="1:5" x14ac:dyDescent="0.25">
      <c r="A204">
        <f>ROW(A203)</f>
        <v>203</v>
      </c>
      <c r="B204" s="8">
        <v>44457</v>
      </c>
      <c r="C204" t="s">
        <v>85</v>
      </c>
      <c r="D204" s="1">
        <v>2</v>
      </c>
      <c r="E204" s="3">
        <f>(D204)*(VLOOKUP(C204,CLIENTES,2,FALSE))</f>
        <v>30</v>
      </c>
    </row>
    <row r="205" spans="1:5" x14ac:dyDescent="0.25">
      <c r="A205">
        <f>ROW(A204)</f>
        <v>204</v>
      </c>
      <c r="B205" s="8">
        <v>44457</v>
      </c>
      <c r="C205" t="s">
        <v>66</v>
      </c>
      <c r="D205" s="1">
        <v>6</v>
      </c>
      <c r="E205" s="3">
        <f>(D205)*(VLOOKUP(C205,CLIENTES,2,FALSE))</f>
        <v>90</v>
      </c>
    </row>
    <row r="206" spans="1:5" x14ac:dyDescent="0.25">
      <c r="A206">
        <f>ROW(A205)</f>
        <v>205</v>
      </c>
      <c r="B206" s="8">
        <v>44457</v>
      </c>
      <c r="C206" t="s">
        <v>106</v>
      </c>
      <c r="D206" s="1">
        <v>4</v>
      </c>
      <c r="E206" s="3">
        <f>(D206)*(VLOOKUP(C206,CLIENTES,2,FALSE))</f>
        <v>60</v>
      </c>
    </row>
    <row r="207" spans="1:5" x14ac:dyDescent="0.25">
      <c r="A207">
        <f>ROW(A206)</f>
        <v>206</v>
      </c>
      <c r="B207" s="8">
        <v>44457</v>
      </c>
      <c r="C207" t="s">
        <v>125</v>
      </c>
      <c r="D207" s="1">
        <v>8</v>
      </c>
      <c r="E207" s="3" t="e">
        <f>(D207)*(VLOOKUP(C207,CLIENTES,2,FALSE))</f>
        <v>#N/A</v>
      </c>
    </row>
    <row r="208" spans="1:5" x14ac:dyDescent="0.25">
      <c r="A208">
        <f>ROW(A207)</f>
        <v>207</v>
      </c>
      <c r="B208" s="8">
        <v>44457</v>
      </c>
      <c r="C208" t="s">
        <v>45</v>
      </c>
      <c r="D208" s="1">
        <v>3</v>
      </c>
      <c r="E208" s="3">
        <f>(D208)*(VLOOKUP(C208,CLIENTES,2,FALSE))</f>
        <v>45</v>
      </c>
    </row>
    <row r="209" spans="1:5" x14ac:dyDescent="0.25">
      <c r="A209">
        <f>ROW(A208)</f>
        <v>208</v>
      </c>
      <c r="B209" s="8">
        <v>44457</v>
      </c>
      <c r="C209" t="s">
        <v>149</v>
      </c>
      <c r="D209" s="1">
        <v>6</v>
      </c>
      <c r="E209" s="3" t="e">
        <f>(D209)*(VLOOKUP(C209,CLIENTES,2,FALSE))</f>
        <v>#N/A</v>
      </c>
    </row>
    <row r="210" spans="1:5" x14ac:dyDescent="0.25">
      <c r="A210">
        <f>ROW(A209)</f>
        <v>209</v>
      </c>
      <c r="B210" s="8">
        <v>44457</v>
      </c>
      <c r="C210" t="s">
        <v>74</v>
      </c>
      <c r="D210" s="1">
        <v>3</v>
      </c>
      <c r="E210" s="3">
        <f>(D210)*(VLOOKUP(C210,CLIENTES,2,FALSE))</f>
        <v>45</v>
      </c>
    </row>
    <row r="211" spans="1:5" x14ac:dyDescent="0.25">
      <c r="A211">
        <f>ROW(A210)</f>
        <v>210</v>
      </c>
      <c r="B211" s="8">
        <v>44459</v>
      </c>
      <c r="C211" t="s">
        <v>79</v>
      </c>
      <c r="D211" s="1">
        <v>3</v>
      </c>
      <c r="E211" s="3">
        <f>(D211)*(VLOOKUP(C211,CLIENTES,2,FALSE))</f>
        <v>45</v>
      </c>
    </row>
    <row r="212" spans="1:5" x14ac:dyDescent="0.25">
      <c r="A212">
        <f>ROW(A211)</f>
        <v>211</v>
      </c>
      <c r="B212" s="8">
        <v>44459</v>
      </c>
      <c r="C212" t="s">
        <v>141</v>
      </c>
      <c r="D212" s="1">
        <v>11</v>
      </c>
      <c r="E212" s="3" t="e">
        <f>(D212)*(VLOOKUP(C212,CLIENTES,2,FALSE))</f>
        <v>#N/A</v>
      </c>
    </row>
    <row r="213" spans="1:5" x14ac:dyDescent="0.25">
      <c r="A213">
        <f>ROW(A212)</f>
        <v>212</v>
      </c>
      <c r="B213" s="8">
        <v>44459</v>
      </c>
      <c r="C213" t="s">
        <v>75</v>
      </c>
      <c r="D213" s="1">
        <v>2</v>
      </c>
      <c r="E213" s="3">
        <f>(D213)*(VLOOKUP(C213,CLIENTES,2,FALSE))</f>
        <v>30</v>
      </c>
    </row>
    <row r="214" spans="1:5" x14ac:dyDescent="0.25">
      <c r="A214">
        <f>ROW(A213)</f>
        <v>213</v>
      </c>
      <c r="B214" s="8">
        <v>44459</v>
      </c>
      <c r="C214" t="s">
        <v>16</v>
      </c>
      <c r="D214" s="1">
        <v>6</v>
      </c>
      <c r="E214" s="3">
        <f>(D214)*(VLOOKUP(C214,CLIENTES,2,FALSE))</f>
        <v>72</v>
      </c>
    </row>
    <row r="215" spans="1:5" x14ac:dyDescent="0.25">
      <c r="A215">
        <f>ROW(A214)</f>
        <v>214</v>
      </c>
      <c r="B215" s="8">
        <v>44459</v>
      </c>
      <c r="C215" t="s">
        <v>64</v>
      </c>
      <c r="D215" s="1">
        <v>11</v>
      </c>
      <c r="E215" s="3">
        <f>(D215)*(VLOOKUP(C215,CLIENTES,2,FALSE))</f>
        <v>132</v>
      </c>
    </row>
    <row r="216" spans="1:5" x14ac:dyDescent="0.25">
      <c r="A216">
        <f>ROW(A215)</f>
        <v>215</v>
      </c>
      <c r="B216" s="8">
        <v>44459</v>
      </c>
      <c r="C216" t="s">
        <v>150</v>
      </c>
      <c r="D216" s="1">
        <v>4</v>
      </c>
      <c r="E216" s="3">
        <f>(D216)*(VLOOKUP(C216,CLIENTES,2,FALSE))</f>
        <v>60</v>
      </c>
    </row>
    <row r="217" spans="1:5" x14ac:dyDescent="0.25">
      <c r="A217">
        <f>ROW(A216)</f>
        <v>216</v>
      </c>
      <c r="B217" s="8">
        <v>44459</v>
      </c>
      <c r="C217" t="s">
        <v>135</v>
      </c>
      <c r="D217" s="1">
        <v>3</v>
      </c>
      <c r="E217" s="3" t="e">
        <f>(D217)*(VLOOKUP(C217,CLIENTES,2,FALSE))</f>
        <v>#N/A</v>
      </c>
    </row>
    <row r="218" spans="1:5" x14ac:dyDescent="0.25">
      <c r="A218">
        <f>ROW(A217)</f>
        <v>217</v>
      </c>
      <c r="B218" s="8">
        <v>44459</v>
      </c>
      <c r="C218" t="s">
        <v>130</v>
      </c>
      <c r="D218" s="1">
        <v>5</v>
      </c>
      <c r="E218" s="3" t="e">
        <f>(D218)*(VLOOKUP(C218,CLIENTES,2,FALSE))</f>
        <v>#N/A</v>
      </c>
    </row>
    <row r="219" spans="1:5" x14ac:dyDescent="0.25">
      <c r="A219">
        <f>ROW(A218)</f>
        <v>218</v>
      </c>
      <c r="B219" s="8">
        <v>44459</v>
      </c>
      <c r="C219" t="s">
        <v>87</v>
      </c>
      <c r="D219" s="1">
        <v>7</v>
      </c>
      <c r="E219" s="3">
        <f>(D219)*(VLOOKUP(C219,CLIENTES,2,FALSE))</f>
        <v>105</v>
      </c>
    </row>
    <row r="220" spans="1:5" x14ac:dyDescent="0.25">
      <c r="A220">
        <f>ROW(A219)</f>
        <v>219</v>
      </c>
      <c r="B220" s="8">
        <v>44459</v>
      </c>
      <c r="C220" t="s">
        <v>47</v>
      </c>
      <c r="D220" s="1">
        <v>1</v>
      </c>
      <c r="E220" s="3">
        <f>(D220)*(VLOOKUP(C220,CLIENTES,2,FALSE))</f>
        <v>15</v>
      </c>
    </row>
    <row r="221" spans="1:5" x14ac:dyDescent="0.25">
      <c r="A221">
        <f>ROW(A220)</f>
        <v>220</v>
      </c>
      <c r="B221" s="8">
        <v>44459</v>
      </c>
      <c r="C221" t="s">
        <v>14</v>
      </c>
      <c r="D221" s="1">
        <v>1</v>
      </c>
      <c r="E221" s="3">
        <f>(D221)*(VLOOKUP(C221,CLIENTES,2,FALSE))</f>
        <v>15</v>
      </c>
    </row>
    <row r="222" spans="1:5" x14ac:dyDescent="0.25">
      <c r="A222">
        <f>ROW(A221)</f>
        <v>221</v>
      </c>
      <c r="B222" s="8">
        <v>44459</v>
      </c>
      <c r="C222" t="s">
        <v>57</v>
      </c>
      <c r="D222" s="1">
        <v>1</v>
      </c>
      <c r="E222" s="3">
        <f>(D222)*(VLOOKUP(C222,CLIENTES,2,FALSE))</f>
        <v>15</v>
      </c>
    </row>
    <row r="223" spans="1:5" x14ac:dyDescent="0.25">
      <c r="A223">
        <f>ROW(A222)</f>
        <v>222</v>
      </c>
      <c r="B223" s="8">
        <v>44459</v>
      </c>
      <c r="C223" t="s">
        <v>151</v>
      </c>
      <c r="D223" s="1">
        <v>1</v>
      </c>
      <c r="E223" s="3" t="e">
        <f>(D223)*(VLOOKUP(C223,CLIENTES,2,FALSE))</f>
        <v>#N/A</v>
      </c>
    </row>
    <row r="224" spans="1:5" x14ac:dyDescent="0.25">
      <c r="A224">
        <f>ROW(A223)</f>
        <v>223</v>
      </c>
      <c r="B224" s="8">
        <v>44459</v>
      </c>
      <c r="C224" t="s">
        <v>71</v>
      </c>
      <c r="D224" s="1">
        <v>6</v>
      </c>
      <c r="E224" s="3">
        <f>(D224)*(VLOOKUP(C224,CLIENTES,2,FALSE))</f>
        <v>90</v>
      </c>
    </row>
    <row r="225" spans="1:5" x14ac:dyDescent="0.25">
      <c r="A225">
        <f>ROW(A224)</f>
        <v>224</v>
      </c>
      <c r="B225" s="8">
        <v>44459</v>
      </c>
      <c r="C225" t="s">
        <v>104</v>
      </c>
      <c r="D225" s="1">
        <v>1</v>
      </c>
      <c r="E225" s="3">
        <f>(D225)*(VLOOKUP(C225,CLIENTES,2,FALSE))</f>
        <v>15</v>
      </c>
    </row>
    <row r="226" spans="1:5" x14ac:dyDescent="0.25">
      <c r="A226">
        <f>ROW(A225)</f>
        <v>225</v>
      </c>
      <c r="B226" s="8">
        <v>44459</v>
      </c>
      <c r="C226" t="s">
        <v>42</v>
      </c>
      <c r="D226" s="1">
        <v>5</v>
      </c>
      <c r="E226" s="3">
        <f>(D226)*(VLOOKUP(C226,CLIENTES,2,FALSE))</f>
        <v>75</v>
      </c>
    </row>
    <row r="227" spans="1:5" x14ac:dyDescent="0.25">
      <c r="A227">
        <f>ROW(A226)</f>
        <v>226</v>
      </c>
      <c r="B227" s="8">
        <v>44460</v>
      </c>
      <c r="C227" t="s">
        <v>93</v>
      </c>
      <c r="D227" s="1">
        <v>2</v>
      </c>
      <c r="E227" s="3">
        <f>(D227)*(VLOOKUP(C227,CLIENTES,2,FALSE))</f>
        <v>30</v>
      </c>
    </row>
    <row r="228" spans="1:5" x14ac:dyDescent="0.25">
      <c r="A228">
        <f>ROW(A227)</f>
        <v>227</v>
      </c>
      <c r="B228" s="8">
        <v>44460</v>
      </c>
      <c r="C228" t="s">
        <v>67</v>
      </c>
      <c r="D228" s="1">
        <v>4</v>
      </c>
      <c r="E228" s="3">
        <f>(D228)*(VLOOKUP(C228,CLIENTES,2,FALSE))</f>
        <v>60</v>
      </c>
    </row>
    <row r="229" spans="1:5" x14ac:dyDescent="0.25">
      <c r="A229">
        <f>ROW(A228)</f>
        <v>228</v>
      </c>
      <c r="B229" s="8">
        <v>44460</v>
      </c>
      <c r="C229" t="s">
        <v>148</v>
      </c>
      <c r="D229" s="1">
        <v>5</v>
      </c>
      <c r="E229" s="3" t="e">
        <f>(D229)*(VLOOKUP(C229,CLIENTES,2,FALSE))</f>
        <v>#N/A</v>
      </c>
    </row>
    <row r="230" spans="1:5" x14ac:dyDescent="0.25">
      <c r="A230">
        <f>ROW(A229)</f>
        <v>229</v>
      </c>
      <c r="B230" s="8">
        <v>44460</v>
      </c>
      <c r="C230" t="s">
        <v>38</v>
      </c>
      <c r="D230" s="1">
        <v>4</v>
      </c>
      <c r="E230" s="3">
        <f>(D230)*(VLOOKUP(C230,CLIENTES,2,FALSE))</f>
        <v>60</v>
      </c>
    </row>
    <row r="231" spans="1:5" x14ac:dyDescent="0.25">
      <c r="A231">
        <f>ROW(A230)</f>
        <v>230</v>
      </c>
      <c r="B231" s="8">
        <v>44460</v>
      </c>
      <c r="C231" t="s">
        <v>88</v>
      </c>
      <c r="D231" s="1">
        <v>2</v>
      </c>
      <c r="E231" s="3">
        <f>(D231)*(VLOOKUP(C231,CLIENTES,2,FALSE))</f>
        <v>30</v>
      </c>
    </row>
    <row r="232" spans="1:5" x14ac:dyDescent="0.25">
      <c r="A232">
        <f>ROW(A231)</f>
        <v>231</v>
      </c>
      <c r="B232" s="8">
        <v>44460</v>
      </c>
      <c r="C232" t="s">
        <v>42</v>
      </c>
      <c r="D232" s="1">
        <v>2</v>
      </c>
      <c r="E232" s="3">
        <f>(D232)*(VLOOKUP(C232,CLIENTES,2,FALSE))</f>
        <v>30</v>
      </c>
    </row>
    <row r="233" spans="1:5" x14ac:dyDescent="0.25">
      <c r="A233">
        <f>ROW(A232)</f>
        <v>232</v>
      </c>
      <c r="B233" s="8">
        <v>44460</v>
      </c>
      <c r="C233" t="s">
        <v>61</v>
      </c>
      <c r="D233" s="1">
        <v>2</v>
      </c>
      <c r="E233" s="3">
        <f>(D233)*(VLOOKUP(C233,CLIENTES,2,FALSE))</f>
        <v>30</v>
      </c>
    </row>
    <row r="234" spans="1:5" x14ac:dyDescent="0.25">
      <c r="A234">
        <f>ROW(A233)</f>
        <v>233</v>
      </c>
      <c r="B234" s="8">
        <v>44460</v>
      </c>
      <c r="C234" t="s">
        <v>133</v>
      </c>
      <c r="D234" s="1">
        <v>2</v>
      </c>
      <c r="E234" s="3" t="e">
        <f>(D234)*(VLOOKUP(C234,CLIENTES,2,FALSE))</f>
        <v>#N/A</v>
      </c>
    </row>
    <row r="235" spans="1:5" x14ac:dyDescent="0.25">
      <c r="A235">
        <f>ROW(A234)</f>
        <v>234</v>
      </c>
      <c r="B235" s="8">
        <v>44460</v>
      </c>
      <c r="C235" t="s">
        <v>101</v>
      </c>
      <c r="D235" s="1">
        <v>7</v>
      </c>
      <c r="E235" s="3" t="e">
        <f>(D235)*(VLOOKUP(C235,CLIENTES,2,FALSE))</f>
        <v>#N/A</v>
      </c>
    </row>
    <row r="236" spans="1:5" x14ac:dyDescent="0.25">
      <c r="A236">
        <f>ROW(A235)</f>
        <v>235</v>
      </c>
      <c r="B236" s="8">
        <v>44460</v>
      </c>
      <c r="C236" t="s">
        <v>152</v>
      </c>
      <c r="D236" s="1">
        <v>7</v>
      </c>
      <c r="E236" s="3" t="e">
        <f>(D236)*(VLOOKUP(C236,CLIENTES,2,FALSE))</f>
        <v>#N/A</v>
      </c>
    </row>
    <row r="237" spans="1:5" x14ac:dyDescent="0.25">
      <c r="A237">
        <f>ROW(A236)</f>
        <v>236</v>
      </c>
      <c r="B237" s="8">
        <v>44460</v>
      </c>
      <c r="C237" t="s">
        <v>122</v>
      </c>
      <c r="D237" s="1">
        <v>2</v>
      </c>
      <c r="E237" s="3">
        <f>(D237)*(VLOOKUP(C237,CLIENTES,2,FALSE))</f>
        <v>30</v>
      </c>
    </row>
    <row r="238" spans="1:5" x14ac:dyDescent="0.25">
      <c r="A238">
        <f>ROW(A237)</f>
        <v>237</v>
      </c>
      <c r="B238" s="8">
        <v>44460</v>
      </c>
      <c r="C238" t="s">
        <v>15</v>
      </c>
      <c r="D238" s="1">
        <v>3</v>
      </c>
      <c r="E238" s="3">
        <f>(D238)*(VLOOKUP(C238,CLIENTES,2,FALSE))</f>
        <v>45</v>
      </c>
    </row>
    <row r="239" spans="1:5" x14ac:dyDescent="0.25">
      <c r="A239">
        <f>ROW(A238)</f>
        <v>238</v>
      </c>
      <c r="B239" s="8">
        <v>44460</v>
      </c>
      <c r="C239" t="s">
        <v>70</v>
      </c>
      <c r="D239" s="1">
        <v>1</v>
      </c>
      <c r="E239" s="3">
        <f>(D239)*(VLOOKUP(C239,CLIENTES,2,FALSE))</f>
        <v>15</v>
      </c>
    </row>
    <row r="240" spans="1:5" x14ac:dyDescent="0.25">
      <c r="A240">
        <f>ROW(A239)</f>
        <v>239</v>
      </c>
      <c r="B240" s="8">
        <v>44460</v>
      </c>
      <c r="C240" t="s">
        <v>48</v>
      </c>
      <c r="D240" s="1">
        <v>4</v>
      </c>
      <c r="E240" s="3">
        <f>(D240)*(VLOOKUP(C240,CLIENTES,2,FALSE))</f>
        <v>52</v>
      </c>
    </row>
    <row r="241" spans="1:5" x14ac:dyDescent="0.25">
      <c r="A241">
        <f>ROW(A240)</f>
        <v>240</v>
      </c>
      <c r="B241" s="8">
        <v>44460</v>
      </c>
      <c r="C241" t="s">
        <v>63</v>
      </c>
      <c r="D241" s="1">
        <v>10</v>
      </c>
      <c r="E241" s="3">
        <f>(D241)*(VLOOKUP(C241,CLIENTES,2,FALSE))</f>
        <v>150</v>
      </c>
    </row>
    <row r="242" spans="1:5" x14ac:dyDescent="0.25">
      <c r="A242">
        <f>ROW(A241)</f>
        <v>241</v>
      </c>
      <c r="B242" s="8">
        <v>44461</v>
      </c>
      <c r="C242" t="s">
        <v>79</v>
      </c>
      <c r="D242" s="1">
        <v>4</v>
      </c>
      <c r="E242" s="3">
        <f>(D242)*(VLOOKUP(C242,CLIENTES,2,FALSE))</f>
        <v>60</v>
      </c>
    </row>
    <row r="243" spans="1:5" x14ac:dyDescent="0.25">
      <c r="A243">
        <f>ROW(A242)</f>
        <v>242</v>
      </c>
      <c r="B243" s="8">
        <v>44461</v>
      </c>
      <c r="C243" t="s">
        <v>81</v>
      </c>
      <c r="D243" s="1">
        <v>2</v>
      </c>
      <c r="E243" s="3">
        <f>(D243)*(VLOOKUP(C243,CLIENTES,2,FALSE))</f>
        <v>30</v>
      </c>
    </row>
    <row r="244" spans="1:5" x14ac:dyDescent="0.25">
      <c r="A244">
        <f>ROW(A243)</f>
        <v>243</v>
      </c>
      <c r="B244" s="8">
        <v>44461</v>
      </c>
      <c r="C244" t="s">
        <v>89</v>
      </c>
      <c r="D244" s="1">
        <v>1</v>
      </c>
      <c r="E244" s="3">
        <f>(D244)*(VLOOKUP(C244,CLIENTES,2,FALSE))</f>
        <v>15</v>
      </c>
    </row>
    <row r="245" spans="1:5" x14ac:dyDescent="0.25">
      <c r="A245">
        <f>ROW(A244)</f>
        <v>244</v>
      </c>
      <c r="B245" s="8">
        <v>44461</v>
      </c>
      <c r="C245" t="s">
        <v>70</v>
      </c>
      <c r="D245" s="1">
        <v>1</v>
      </c>
      <c r="E245" s="3">
        <f>(D245)*(VLOOKUP(C245,CLIENTES,2,FALSE))</f>
        <v>15</v>
      </c>
    </row>
    <row r="246" spans="1:5" x14ac:dyDescent="0.25">
      <c r="A246">
        <f>ROW(A245)</f>
        <v>245</v>
      </c>
      <c r="B246" s="8">
        <v>44461</v>
      </c>
      <c r="C246" t="s">
        <v>97</v>
      </c>
      <c r="D246" s="1">
        <v>4</v>
      </c>
      <c r="E246" s="3">
        <f>(D246)*(VLOOKUP(C246,CLIENTES,2,FALSE))</f>
        <v>60</v>
      </c>
    </row>
    <row r="247" spans="1:5" x14ac:dyDescent="0.25">
      <c r="A247">
        <f>ROW(A246)</f>
        <v>246</v>
      </c>
      <c r="B247" s="8">
        <v>44461</v>
      </c>
      <c r="C247" t="s">
        <v>142</v>
      </c>
      <c r="D247" s="1">
        <v>2</v>
      </c>
      <c r="E247" s="3" t="e">
        <f>(D247)*(VLOOKUP(C247,CLIENTES,2,FALSE))</f>
        <v>#N/A</v>
      </c>
    </row>
    <row r="248" spans="1:5" x14ac:dyDescent="0.25">
      <c r="A248">
        <f>ROW(A247)</f>
        <v>247</v>
      </c>
      <c r="B248" s="8">
        <v>44461</v>
      </c>
      <c r="C248" t="s">
        <v>94</v>
      </c>
      <c r="D248" s="1">
        <v>1</v>
      </c>
      <c r="E248" s="3" t="e">
        <f>(D248)*(VLOOKUP(C248,CLIENTES,2,FALSE))</f>
        <v>#N/A</v>
      </c>
    </row>
    <row r="249" spans="1:5" x14ac:dyDescent="0.25">
      <c r="A249">
        <f>ROW(A248)</f>
        <v>248</v>
      </c>
      <c r="B249" s="8">
        <v>44461</v>
      </c>
      <c r="C249" t="s">
        <v>146</v>
      </c>
      <c r="D249" s="1">
        <v>1</v>
      </c>
      <c r="E249" s="3" t="e">
        <f>(D249)*(VLOOKUP(C249,CLIENTES,2,FALSE))</f>
        <v>#N/A</v>
      </c>
    </row>
    <row r="250" spans="1:5" x14ac:dyDescent="0.25">
      <c r="A250">
        <f>ROW(A249)</f>
        <v>249</v>
      </c>
      <c r="B250" s="8">
        <v>44461</v>
      </c>
      <c r="C250" t="s">
        <v>114</v>
      </c>
      <c r="D250" s="1">
        <v>1</v>
      </c>
      <c r="E250" s="3">
        <f>(D250)*(VLOOKUP(C250,CLIENTES,2,FALSE))</f>
        <v>15</v>
      </c>
    </row>
    <row r="251" spans="1:5" x14ac:dyDescent="0.25">
      <c r="A251">
        <f>ROW(A250)</f>
        <v>250</v>
      </c>
      <c r="B251" s="8">
        <v>44461</v>
      </c>
      <c r="C251" t="s">
        <v>131</v>
      </c>
      <c r="D251" s="1">
        <v>3</v>
      </c>
      <c r="E251" s="3" t="e">
        <f>(D251)*(VLOOKUP(C251,CLIENTES,2,FALSE))</f>
        <v>#N/A</v>
      </c>
    </row>
    <row r="252" spans="1:5" x14ac:dyDescent="0.25">
      <c r="A252">
        <f>ROW(A251)</f>
        <v>251</v>
      </c>
      <c r="B252" s="8">
        <v>44461</v>
      </c>
      <c r="C252" t="s">
        <v>124</v>
      </c>
      <c r="D252" s="1">
        <v>1</v>
      </c>
      <c r="E252" s="3">
        <f>(D252)*(VLOOKUP(C252,CLIENTES,2,FALSE))</f>
        <v>15</v>
      </c>
    </row>
    <row r="253" spans="1:5" x14ac:dyDescent="0.25">
      <c r="A253">
        <f>ROW(A252)</f>
        <v>252</v>
      </c>
      <c r="B253" s="8">
        <v>44461</v>
      </c>
      <c r="C253" t="s">
        <v>119</v>
      </c>
      <c r="D253" s="1">
        <v>10</v>
      </c>
      <c r="E253" s="3">
        <f>(D253)*(VLOOKUP(C253,CLIENTES,2,FALSE))</f>
        <v>150</v>
      </c>
    </row>
    <row r="254" spans="1:5" x14ac:dyDescent="0.25">
      <c r="A254">
        <f>ROW(A253)</f>
        <v>253</v>
      </c>
      <c r="B254" s="8">
        <v>44463</v>
      </c>
      <c r="C254" t="s">
        <v>69</v>
      </c>
      <c r="D254" s="1">
        <v>6</v>
      </c>
      <c r="E254" s="3" t="e">
        <f>(D254)*(VLOOKUP(C254,CLIENTES,2,FALSE))</f>
        <v>#N/A</v>
      </c>
    </row>
    <row r="255" spans="1:5" x14ac:dyDescent="0.25">
      <c r="A255">
        <f>ROW(A254)</f>
        <v>254</v>
      </c>
      <c r="B255" s="8">
        <v>44463</v>
      </c>
      <c r="C255" t="s">
        <v>106</v>
      </c>
      <c r="D255" s="1">
        <v>2</v>
      </c>
      <c r="E255" s="3">
        <f>(D255)*(VLOOKUP(C255,CLIENTES,2,FALSE))</f>
        <v>30</v>
      </c>
    </row>
    <row r="256" spans="1:5" x14ac:dyDescent="0.25">
      <c r="A256">
        <f>ROW(A255)</f>
        <v>255</v>
      </c>
      <c r="B256" s="8">
        <v>44463</v>
      </c>
      <c r="C256" t="s">
        <v>73</v>
      </c>
      <c r="D256" s="1">
        <v>2</v>
      </c>
      <c r="E256" s="3">
        <f>(D256)*(VLOOKUP(C256,CLIENTES,2,FALSE))</f>
        <v>30</v>
      </c>
    </row>
    <row r="257" spans="1:5" x14ac:dyDescent="0.25">
      <c r="A257">
        <f>ROW(A256)</f>
        <v>256</v>
      </c>
      <c r="B257" s="8">
        <v>44463</v>
      </c>
      <c r="C257" t="s">
        <v>40</v>
      </c>
      <c r="D257" s="1">
        <v>3</v>
      </c>
      <c r="E257" s="3">
        <f>(D257)*(VLOOKUP(C257,CLIENTES,2,FALSE))</f>
        <v>45</v>
      </c>
    </row>
    <row r="258" spans="1:5" x14ac:dyDescent="0.25">
      <c r="A258">
        <f>ROW(A257)</f>
        <v>257</v>
      </c>
      <c r="B258" s="8">
        <v>44463</v>
      </c>
      <c r="C258" t="s">
        <v>16</v>
      </c>
      <c r="D258" s="1">
        <v>5</v>
      </c>
      <c r="E258" s="3">
        <f>(D258)*(VLOOKUP(C258,CLIENTES,2,FALSE))</f>
        <v>60</v>
      </c>
    </row>
    <row r="259" spans="1:5" x14ac:dyDescent="0.25">
      <c r="A259">
        <f>ROW(A258)</f>
        <v>258</v>
      </c>
      <c r="B259" s="8">
        <v>44463</v>
      </c>
      <c r="C259" t="s">
        <v>125</v>
      </c>
      <c r="D259" s="1">
        <v>3</v>
      </c>
      <c r="E259" s="3" t="e">
        <f>(D259)*(VLOOKUP(C259,CLIENTES,2,FALSE))</f>
        <v>#N/A</v>
      </c>
    </row>
    <row r="260" spans="1:5" x14ac:dyDescent="0.25">
      <c r="A260">
        <f>ROW(A259)</f>
        <v>259</v>
      </c>
      <c r="B260" s="8">
        <v>44463</v>
      </c>
      <c r="C260" t="s">
        <v>48</v>
      </c>
      <c r="D260" s="1">
        <v>1</v>
      </c>
      <c r="E260" s="3">
        <f>(D260)*(VLOOKUP(C260,CLIENTES,2,FALSE))</f>
        <v>13</v>
      </c>
    </row>
    <row r="261" spans="1:5" x14ac:dyDescent="0.25">
      <c r="A261">
        <f>ROW(A260)</f>
        <v>260</v>
      </c>
      <c r="B261" s="8">
        <v>44463</v>
      </c>
      <c r="C261" t="s">
        <v>49</v>
      </c>
      <c r="D261" s="1">
        <v>8</v>
      </c>
      <c r="E261" s="3">
        <f>(D261)*(VLOOKUP(C261,CLIENTES,2,FALSE))</f>
        <v>120</v>
      </c>
    </row>
    <row r="262" spans="1:5" x14ac:dyDescent="0.25">
      <c r="A262">
        <f>ROW(A261)</f>
        <v>261</v>
      </c>
      <c r="B262" s="8">
        <v>44463</v>
      </c>
      <c r="C262" t="s">
        <v>75</v>
      </c>
      <c r="D262" s="1">
        <v>1</v>
      </c>
      <c r="E262" s="3">
        <f>(D262)*(VLOOKUP(C262,CLIENTES,2,FALSE))</f>
        <v>15</v>
      </c>
    </row>
    <row r="263" spans="1:5" x14ac:dyDescent="0.25">
      <c r="A263">
        <f>ROW(A262)</f>
        <v>262</v>
      </c>
      <c r="B263" s="8">
        <v>44463</v>
      </c>
      <c r="C263" t="s">
        <v>64</v>
      </c>
      <c r="D263" s="1">
        <v>10</v>
      </c>
      <c r="E263" s="3">
        <f>(D263)*(VLOOKUP(C263,CLIENTES,2,FALSE))</f>
        <v>120</v>
      </c>
    </row>
    <row r="264" spans="1:5" x14ac:dyDescent="0.25">
      <c r="A264">
        <f>ROW(A263)</f>
        <v>263</v>
      </c>
      <c r="B264" s="8">
        <v>44463</v>
      </c>
      <c r="C264" t="s">
        <v>124</v>
      </c>
      <c r="D264" s="1">
        <v>1</v>
      </c>
      <c r="E264" s="3">
        <f>(D264)*(VLOOKUP(C264,CLIENTES,2,FALSE))</f>
        <v>15</v>
      </c>
    </row>
    <row r="265" spans="1:5" x14ac:dyDescent="0.25">
      <c r="A265">
        <f>ROW(A264)</f>
        <v>264</v>
      </c>
      <c r="B265" s="8">
        <v>44463</v>
      </c>
      <c r="C265" t="s">
        <v>102</v>
      </c>
      <c r="D265" s="1">
        <v>2</v>
      </c>
      <c r="E265" s="3">
        <f>(D265)*(VLOOKUP(C265,CLIENTES,2,FALSE))</f>
        <v>30</v>
      </c>
    </row>
    <row r="266" spans="1:5" x14ac:dyDescent="0.25">
      <c r="A266">
        <f>ROW(A265)</f>
        <v>265</v>
      </c>
      <c r="B266" s="8">
        <v>44463</v>
      </c>
      <c r="C266" t="s">
        <v>58</v>
      </c>
      <c r="D266" s="1">
        <v>3</v>
      </c>
      <c r="E266" s="3">
        <f>(D266)*(VLOOKUP(C266,CLIENTES,2,FALSE))</f>
        <v>45</v>
      </c>
    </row>
    <row r="267" spans="1:5" x14ac:dyDescent="0.25">
      <c r="A267">
        <f>ROW(A266)</f>
        <v>266</v>
      </c>
      <c r="B267" s="8">
        <v>44463</v>
      </c>
      <c r="C267" t="s">
        <v>123</v>
      </c>
      <c r="D267" s="1">
        <v>5</v>
      </c>
      <c r="E267" s="3">
        <f>(D267)*(VLOOKUP(C267,CLIENTES,2,FALSE))</f>
        <v>75</v>
      </c>
    </row>
    <row r="268" spans="1:5" x14ac:dyDescent="0.25">
      <c r="A268">
        <f>ROW(A267)</f>
        <v>267</v>
      </c>
      <c r="B268" s="8">
        <v>44463</v>
      </c>
      <c r="C268" t="s">
        <v>53</v>
      </c>
      <c r="D268" s="1">
        <v>3</v>
      </c>
      <c r="E268" s="3">
        <f>(D268)*(VLOOKUP(C268,CLIENTES,2,FALSE))</f>
        <v>45</v>
      </c>
    </row>
    <row r="269" spans="1:5" x14ac:dyDescent="0.25">
      <c r="A269">
        <f>ROW(A268)</f>
        <v>268</v>
      </c>
      <c r="B269" s="8">
        <v>44463</v>
      </c>
      <c r="C269" t="s">
        <v>111</v>
      </c>
      <c r="D269" s="1">
        <v>3</v>
      </c>
      <c r="E269" s="3">
        <f>(D269)*(VLOOKUP(C269,CLIENTES,2,FALSE))</f>
        <v>45</v>
      </c>
    </row>
    <row r="270" spans="1:5" x14ac:dyDescent="0.25">
      <c r="A270">
        <f>ROW(A269)</f>
        <v>269</v>
      </c>
      <c r="B270" s="8">
        <v>44463</v>
      </c>
      <c r="C270" t="s">
        <v>74</v>
      </c>
      <c r="D270" s="1">
        <v>4</v>
      </c>
      <c r="E270" s="3">
        <f>(D270)*(VLOOKUP(C270,CLIENTES,2,FALSE))</f>
        <v>60</v>
      </c>
    </row>
    <row r="271" spans="1:5" x14ac:dyDescent="0.25">
      <c r="A271">
        <f>ROW(A270)</f>
        <v>270</v>
      </c>
      <c r="B271" s="8">
        <v>44463</v>
      </c>
      <c r="C271" t="s">
        <v>153</v>
      </c>
      <c r="D271" s="1">
        <v>4</v>
      </c>
      <c r="E271" s="3" t="e">
        <f>(D271)*(VLOOKUP(C271,CLIENTES,2,FALSE))</f>
        <v>#N/A</v>
      </c>
    </row>
    <row r="272" spans="1:5" x14ac:dyDescent="0.25">
      <c r="A272">
        <f>ROW(A271)</f>
        <v>271</v>
      </c>
      <c r="B272" s="8">
        <v>44464</v>
      </c>
      <c r="C272" t="s">
        <v>85</v>
      </c>
      <c r="D272" s="1">
        <v>3</v>
      </c>
      <c r="E272" s="3">
        <f>(D272)*(VLOOKUP(C272,CLIENTES,2,FALSE))</f>
        <v>45</v>
      </c>
    </row>
    <row r="273" spans="1:5" x14ac:dyDescent="0.25">
      <c r="A273">
        <f>ROW(A272)</f>
        <v>272</v>
      </c>
      <c r="B273" s="8">
        <v>44464</v>
      </c>
      <c r="C273" t="s">
        <v>66</v>
      </c>
      <c r="D273" s="1">
        <v>8</v>
      </c>
      <c r="E273" s="3">
        <f>(D273)*(VLOOKUP(C273,CLIENTES,2,FALSE))</f>
        <v>120</v>
      </c>
    </row>
    <row r="274" spans="1:5" x14ac:dyDescent="0.25">
      <c r="A274">
        <f>ROW(A273)</f>
        <v>273</v>
      </c>
      <c r="B274" s="8">
        <v>44464</v>
      </c>
      <c r="C274" t="s">
        <v>130</v>
      </c>
      <c r="D274" s="1">
        <v>5</v>
      </c>
      <c r="E274" s="3" t="e">
        <f>(D274)*(VLOOKUP(C274,CLIENTES,2,FALSE))</f>
        <v>#N/A</v>
      </c>
    </row>
    <row r="275" spans="1:5" x14ac:dyDescent="0.25">
      <c r="A275">
        <f>ROW(A274)</f>
        <v>274</v>
      </c>
      <c r="B275" s="8">
        <v>44464</v>
      </c>
      <c r="C275" t="s">
        <v>36</v>
      </c>
      <c r="D275" s="1">
        <v>6</v>
      </c>
      <c r="E275" s="3">
        <f>(D275)*(VLOOKUP(C275,CLIENTES,2,FALSE))</f>
        <v>90</v>
      </c>
    </row>
    <row r="276" spans="1:5" x14ac:dyDescent="0.25">
      <c r="A276">
        <f>ROW(A275)</f>
        <v>275</v>
      </c>
      <c r="B276" s="8">
        <v>44464</v>
      </c>
      <c r="C276" t="s">
        <v>122</v>
      </c>
      <c r="D276" s="1">
        <v>11</v>
      </c>
      <c r="E276" s="3">
        <f>(D276)*(VLOOKUP(C276,CLIENTES,2,FALSE))</f>
        <v>165</v>
      </c>
    </row>
    <row r="277" spans="1:5" x14ac:dyDescent="0.25">
      <c r="A277">
        <f>ROW(A276)</f>
        <v>276</v>
      </c>
      <c r="B277" s="8">
        <v>44464</v>
      </c>
      <c r="C277" t="s">
        <v>90</v>
      </c>
      <c r="D277" s="1">
        <v>1</v>
      </c>
      <c r="E277" s="3">
        <f>(D277)*(VLOOKUP(C277,CLIENTES,2,FALSE))</f>
        <v>15</v>
      </c>
    </row>
    <row r="278" spans="1:5" x14ac:dyDescent="0.25">
      <c r="A278">
        <f>ROW(A277)</f>
        <v>277</v>
      </c>
      <c r="B278" s="8">
        <v>44464</v>
      </c>
      <c r="C278" t="s">
        <v>64</v>
      </c>
      <c r="D278" s="1">
        <v>3</v>
      </c>
      <c r="E278" s="3">
        <f>(D278)*(VLOOKUP(C278,CLIENTES,2,FALSE))</f>
        <v>36</v>
      </c>
    </row>
    <row r="279" spans="1:5" x14ac:dyDescent="0.25">
      <c r="A279">
        <f>ROW(A278)</f>
        <v>278</v>
      </c>
      <c r="B279" s="8">
        <v>44464</v>
      </c>
      <c r="C279" t="s">
        <v>16</v>
      </c>
      <c r="D279" s="1">
        <v>3</v>
      </c>
      <c r="E279" s="3">
        <f>(D279)*(VLOOKUP(C279,CLIENTES,2,FALSE))</f>
        <v>36</v>
      </c>
    </row>
    <row r="280" spans="1:5" x14ac:dyDescent="0.25">
      <c r="A280">
        <f>ROW(A279)</f>
        <v>279</v>
      </c>
      <c r="B280" s="8">
        <v>44464</v>
      </c>
      <c r="C280" t="s">
        <v>65</v>
      </c>
      <c r="D280" s="1">
        <v>3</v>
      </c>
      <c r="E280" s="3">
        <f>(D280)*(VLOOKUP(C280,CLIENTES,2,FALSE))</f>
        <v>45</v>
      </c>
    </row>
    <row r="281" spans="1:5" x14ac:dyDescent="0.25">
      <c r="A281">
        <f>ROW(A280)</f>
        <v>280</v>
      </c>
      <c r="B281" s="8">
        <v>44464</v>
      </c>
      <c r="C281" t="s">
        <v>33</v>
      </c>
      <c r="D281" s="1">
        <v>9</v>
      </c>
      <c r="E281" s="3">
        <f>(D281)*(VLOOKUP(C281,CLIENTES,2,FALSE))</f>
        <v>135</v>
      </c>
    </row>
    <row r="282" spans="1:5" x14ac:dyDescent="0.25">
      <c r="A282">
        <f>ROW(A281)</f>
        <v>281</v>
      </c>
      <c r="B282" s="8">
        <v>44464</v>
      </c>
      <c r="C282" t="s">
        <v>42</v>
      </c>
      <c r="D282" s="1">
        <v>8</v>
      </c>
      <c r="E282" s="3">
        <f>(D282)*(VLOOKUP(C282,CLIENTES,2,FALSE))</f>
        <v>120</v>
      </c>
    </row>
    <row r="283" spans="1:5" x14ac:dyDescent="0.25">
      <c r="A283">
        <f>ROW(A282)</f>
        <v>282</v>
      </c>
      <c r="B283" s="8">
        <v>44464</v>
      </c>
      <c r="C283" t="s">
        <v>137</v>
      </c>
      <c r="D283" s="1">
        <v>1</v>
      </c>
      <c r="E283" s="3">
        <f>(D283)*(VLOOKUP(C283,CLIENTES,2,FALSE))</f>
        <v>15</v>
      </c>
    </row>
    <row r="284" spans="1:5" x14ac:dyDescent="0.25">
      <c r="A284">
        <f>ROW(A283)</f>
        <v>283</v>
      </c>
      <c r="B284" s="8">
        <v>44466</v>
      </c>
      <c r="C284" t="s">
        <v>136</v>
      </c>
      <c r="D284" s="1">
        <v>5</v>
      </c>
      <c r="E284" s="3" t="e">
        <f>(D284)*(VLOOKUP(C284,CLIENTES,2,FALSE))</f>
        <v>#N/A</v>
      </c>
    </row>
    <row r="285" spans="1:5" x14ac:dyDescent="0.25">
      <c r="A285">
        <f>ROW(A284)</f>
        <v>284</v>
      </c>
      <c r="B285" s="8">
        <v>44466</v>
      </c>
      <c r="C285" t="s">
        <v>79</v>
      </c>
      <c r="D285" s="1">
        <v>3</v>
      </c>
      <c r="E285" s="3">
        <f>(D285)*(VLOOKUP(C285,CLIENTES,2,FALSE))</f>
        <v>45</v>
      </c>
    </row>
    <row r="286" spans="1:5" x14ac:dyDescent="0.25">
      <c r="A286">
        <f>ROW(A285)</f>
        <v>285</v>
      </c>
      <c r="B286" s="8">
        <v>44466</v>
      </c>
      <c r="C286" t="s">
        <v>81</v>
      </c>
      <c r="D286" s="1">
        <v>3</v>
      </c>
      <c r="E286" s="3">
        <f>(D286)*(VLOOKUP(C286,CLIENTES,2,FALSE))</f>
        <v>45</v>
      </c>
    </row>
    <row r="287" spans="1:5" x14ac:dyDescent="0.25">
      <c r="A287">
        <f>ROW(A286)</f>
        <v>286</v>
      </c>
      <c r="B287" s="8">
        <v>44466</v>
      </c>
      <c r="C287" t="s">
        <v>116</v>
      </c>
      <c r="D287" s="1">
        <v>4</v>
      </c>
      <c r="E287" s="3">
        <f>(D287)*(VLOOKUP(C287,CLIENTES,2,FALSE))</f>
        <v>60</v>
      </c>
    </row>
    <row r="288" spans="1:5" x14ac:dyDescent="0.25">
      <c r="A288">
        <f>ROW(A287)</f>
        <v>287</v>
      </c>
      <c r="B288" s="8">
        <v>44466</v>
      </c>
      <c r="C288" t="s">
        <v>148</v>
      </c>
      <c r="D288" s="1">
        <v>3</v>
      </c>
      <c r="E288" s="3" t="e">
        <f>(D288)*(VLOOKUP(C288,CLIENTES,2,FALSE))</f>
        <v>#N/A</v>
      </c>
    </row>
    <row r="289" spans="1:5" x14ac:dyDescent="0.25">
      <c r="A289">
        <f>ROW(A288)</f>
        <v>288</v>
      </c>
      <c r="B289" s="8">
        <v>44466</v>
      </c>
      <c r="C289" t="s">
        <v>48</v>
      </c>
      <c r="D289" s="1">
        <v>4</v>
      </c>
      <c r="E289" s="3">
        <f>(D289)*(VLOOKUP(C289,CLIENTES,2,FALSE))</f>
        <v>52</v>
      </c>
    </row>
    <row r="290" spans="1:5" x14ac:dyDescent="0.25">
      <c r="A290">
        <f>ROW(A289)</f>
        <v>289</v>
      </c>
      <c r="B290" s="8">
        <v>44466</v>
      </c>
      <c r="C290" t="s">
        <v>83</v>
      </c>
      <c r="D290" s="1">
        <v>5</v>
      </c>
      <c r="E290" s="3">
        <f>(D290)*(VLOOKUP(C290,CLIENTES,2,FALSE))</f>
        <v>75</v>
      </c>
    </row>
    <row r="291" spans="1:5" x14ac:dyDescent="0.25">
      <c r="A291">
        <f>ROW(A290)</f>
        <v>290</v>
      </c>
      <c r="B291" s="8">
        <v>44466</v>
      </c>
      <c r="C291" t="s">
        <v>75</v>
      </c>
      <c r="D291" s="1">
        <v>1</v>
      </c>
      <c r="E291" s="3">
        <f>(D291)*(VLOOKUP(C291,CLIENTES,2,FALSE))</f>
        <v>15</v>
      </c>
    </row>
    <row r="292" spans="1:5" x14ac:dyDescent="0.25">
      <c r="A292">
        <f>ROW(A291)</f>
        <v>291</v>
      </c>
      <c r="B292" s="8">
        <v>44466</v>
      </c>
      <c r="C292" t="s">
        <v>16</v>
      </c>
      <c r="D292" s="1">
        <v>2</v>
      </c>
      <c r="E292" s="3">
        <f>(D292)*(VLOOKUP(C292,CLIENTES,2,FALSE))</f>
        <v>24</v>
      </c>
    </row>
    <row r="293" spans="1:5" x14ac:dyDescent="0.25">
      <c r="A293">
        <f>ROW(A292)</f>
        <v>292</v>
      </c>
      <c r="B293" s="8">
        <v>44466</v>
      </c>
      <c r="C293" t="s">
        <v>64</v>
      </c>
      <c r="D293" s="1">
        <v>3</v>
      </c>
      <c r="E293" s="3">
        <f>(D293)*(VLOOKUP(C293,CLIENTES,2,FALSE))</f>
        <v>36</v>
      </c>
    </row>
    <row r="294" spans="1:5" x14ac:dyDescent="0.25">
      <c r="A294">
        <f>ROW(A293)</f>
        <v>293</v>
      </c>
      <c r="B294" s="8">
        <v>44466</v>
      </c>
      <c r="C294" t="s">
        <v>93</v>
      </c>
      <c r="D294" s="1">
        <v>2</v>
      </c>
      <c r="E294" s="3">
        <f>(D294)*(VLOOKUP(C294,CLIENTES,2,FALSE))</f>
        <v>30</v>
      </c>
    </row>
    <row r="295" spans="1:5" x14ac:dyDescent="0.25">
      <c r="A295">
        <f>ROW(A294)</f>
        <v>294</v>
      </c>
      <c r="B295" s="8">
        <v>44466</v>
      </c>
      <c r="C295" t="s">
        <v>66</v>
      </c>
      <c r="D295" s="1">
        <v>5</v>
      </c>
      <c r="E295" s="3">
        <f>(D295)*(VLOOKUP(C295,CLIENTES,2,FALSE))</f>
        <v>75</v>
      </c>
    </row>
    <row r="296" spans="1:5" x14ac:dyDescent="0.25">
      <c r="A296">
        <f>ROW(A295)</f>
        <v>295</v>
      </c>
      <c r="B296" s="8">
        <v>44466</v>
      </c>
      <c r="C296" t="s">
        <v>94</v>
      </c>
      <c r="D296" s="1">
        <v>1</v>
      </c>
      <c r="E296" s="3" t="e">
        <f>(D296)*(VLOOKUP(C296,CLIENTES,2,FALSE))</f>
        <v>#N/A</v>
      </c>
    </row>
    <row r="297" spans="1:5" x14ac:dyDescent="0.25">
      <c r="A297">
        <f>ROW(A296)</f>
        <v>296</v>
      </c>
      <c r="B297" s="8">
        <v>44466</v>
      </c>
      <c r="C297" t="s">
        <v>87</v>
      </c>
      <c r="D297" s="1">
        <v>2</v>
      </c>
      <c r="E297" s="3">
        <f>(D297)*(VLOOKUP(C297,CLIENTES,2,FALSE))</f>
        <v>30</v>
      </c>
    </row>
    <row r="298" spans="1:5" x14ac:dyDescent="0.25">
      <c r="A298">
        <f>ROW(A297)</f>
        <v>297</v>
      </c>
      <c r="B298" s="8">
        <v>44466</v>
      </c>
      <c r="C298" t="s">
        <v>47</v>
      </c>
      <c r="D298" s="1">
        <v>3</v>
      </c>
      <c r="E298" s="3">
        <f>(D298)*(VLOOKUP(C298,CLIENTES,2,FALSE))</f>
        <v>45</v>
      </c>
    </row>
    <row r="299" spans="1:5" x14ac:dyDescent="0.25">
      <c r="A299">
        <f>ROW(A298)</f>
        <v>298</v>
      </c>
      <c r="B299" s="8">
        <v>44466</v>
      </c>
      <c r="C299" t="s">
        <v>57</v>
      </c>
      <c r="D299" s="1">
        <v>1</v>
      </c>
      <c r="E299" s="3">
        <f>(D299)*(VLOOKUP(C299,CLIENTES,2,FALSE))</f>
        <v>15</v>
      </c>
    </row>
    <row r="300" spans="1:5" x14ac:dyDescent="0.25">
      <c r="A300">
        <f>ROW(A299)</f>
        <v>299</v>
      </c>
      <c r="B300" s="8">
        <v>44466</v>
      </c>
      <c r="C300" t="s">
        <v>114</v>
      </c>
      <c r="D300" s="1">
        <v>1</v>
      </c>
      <c r="E300" s="3">
        <f>(D300)*(VLOOKUP(C300,CLIENTES,2,FALSE))</f>
        <v>15</v>
      </c>
    </row>
    <row r="301" spans="1:5" x14ac:dyDescent="0.25">
      <c r="A301">
        <f>ROW(A300)</f>
        <v>300</v>
      </c>
      <c r="B301" s="8">
        <v>44466</v>
      </c>
      <c r="C301" t="s">
        <v>124</v>
      </c>
      <c r="D301" s="1">
        <v>1</v>
      </c>
      <c r="E301" s="3">
        <f>(D301)*(VLOOKUP(C301,CLIENTES,2,FALSE))</f>
        <v>15</v>
      </c>
    </row>
    <row r="302" spans="1:5" x14ac:dyDescent="0.25">
      <c r="A302">
        <f>ROW(A301)</f>
        <v>301</v>
      </c>
      <c r="B302" s="8">
        <v>44466</v>
      </c>
      <c r="C302" t="s">
        <v>104</v>
      </c>
      <c r="D302" s="1">
        <v>1</v>
      </c>
      <c r="E302" s="3">
        <f>(D302)*(VLOOKUP(C302,CLIENTES,2,FALSE))</f>
        <v>15</v>
      </c>
    </row>
    <row r="303" spans="1:5" x14ac:dyDescent="0.25">
      <c r="A303">
        <f>ROW(A302)</f>
        <v>302</v>
      </c>
      <c r="B303" s="8">
        <v>44466</v>
      </c>
      <c r="C303" t="s">
        <v>71</v>
      </c>
      <c r="D303" s="1">
        <v>4</v>
      </c>
      <c r="E303" s="3">
        <f>(D303)*(VLOOKUP(C303,CLIENTES,2,FALSE))</f>
        <v>60</v>
      </c>
    </row>
    <row r="304" spans="1:5" x14ac:dyDescent="0.25">
      <c r="A304">
        <f>ROW(A303)</f>
        <v>303</v>
      </c>
      <c r="B304" s="8">
        <v>44466</v>
      </c>
      <c r="C304" t="s">
        <v>72</v>
      </c>
      <c r="D304" s="1">
        <v>6</v>
      </c>
      <c r="E304" s="3">
        <f>(D304)*(VLOOKUP(C304,CLIENTES,2,FALSE))</f>
        <v>90</v>
      </c>
    </row>
    <row r="305" spans="1:5" x14ac:dyDescent="0.25">
      <c r="A305">
        <f>ROW(A304)</f>
        <v>304</v>
      </c>
      <c r="B305" s="8">
        <v>44466</v>
      </c>
      <c r="C305" t="s">
        <v>38</v>
      </c>
      <c r="D305" s="1">
        <v>2</v>
      </c>
      <c r="E305" s="3">
        <f>(D305)*(VLOOKUP(C305,CLIENTES,2,FALSE))</f>
        <v>30</v>
      </c>
    </row>
    <row r="306" spans="1:5" x14ac:dyDescent="0.25">
      <c r="A306">
        <f>ROW(A305)</f>
        <v>305</v>
      </c>
      <c r="B306" s="8">
        <v>44466</v>
      </c>
      <c r="C306" t="s">
        <v>45</v>
      </c>
      <c r="D306" s="1">
        <v>1</v>
      </c>
      <c r="E306" s="3">
        <f>(D306)*(VLOOKUP(C306,CLIENTES,2,FALSE))</f>
        <v>15</v>
      </c>
    </row>
    <row r="307" spans="1:5" x14ac:dyDescent="0.25">
      <c r="A307">
        <f>ROW(A306)</f>
        <v>306</v>
      </c>
      <c r="B307" s="8">
        <v>44466</v>
      </c>
      <c r="C307" t="s">
        <v>95</v>
      </c>
      <c r="D307" s="1">
        <v>14</v>
      </c>
      <c r="E307" s="3" t="e">
        <f>(D307)*(VLOOKUP(C307,CLIENTES,2,FALSE))</f>
        <v>#N/A</v>
      </c>
    </row>
    <row r="308" spans="1:5" x14ac:dyDescent="0.25">
      <c r="A308">
        <f>ROW(A307)</f>
        <v>307</v>
      </c>
      <c r="B308" s="8">
        <v>44466</v>
      </c>
      <c r="C308" t="s">
        <v>111</v>
      </c>
      <c r="D308" s="1">
        <v>5</v>
      </c>
      <c r="E308" s="3">
        <f>(D308)*(VLOOKUP(C308,CLIENTES,2,FALSE))</f>
        <v>75</v>
      </c>
    </row>
    <row r="309" spans="1:5" x14ac:dyDescent="0.25">
      <c r="A309">
        <f>ROW(A308)</f>
        <v>308</v>
      </c>
      <c r="B309" s="8">
        <v>44466</v>
      </c>
      <c r="C309" t="s">
        <v>33</v>
      </c>
      <c r="D309" s="1">
        <v>4</v>
      </c>
      <c r="E309" s="3">
        <f>(D309)*(VLOOKUP(C309,CLIENTES,2,FALSE))</f>
        <v>60</v>
      </c>
    </row>
    <row r="310" spans="1:5" x14ac:dyDescent="0.25">
      <c r="A310">
        <f>ROW(A309)</f>
        <v>309</v>
      </c>
      <c r="B310" s="8">
        <v>44466</v>
      </c>
      <c r="C310" t="s">
        <v>54</v>
      </c>
      <c r="D310" s="1">
        <v>4</v>
      </c>
      <c r="E310" s="3">
        <f>(D310)*(VLOOKUP(C310,CLIENTES,2,FALSE))</f>
        <v>60</v>
      </c>
    </row>
    <row r="311" spans="1:5" x14ac:dyDescent="0.25">
      <c r="A311">
        <f>ROW(A310)</f>
        <v>310</v>
      </c>
      <c r="B311" s="8">
        <v>44467</v>
      </c>
      <c r="C311" t="s">
        <v>16</v>
      </c>
      <c r="D311" s="1">
        <v>4</v>
      </c>
      <c r="E311" s="3">
        <f>(D311)*(VLOOKUP(C311,CLIENTES,2,FALSE))</f>
        <v>48</v>
      </c>
    </row>
    <row r="312" spans="1:5" x14ac:dyDescent="0.25">
      <c r="A312">
        <f>ROW(A311)</f>
        <v>311</v>
      </c>
      <c r="B312" s="8">
        <v>44467</v>
      </c>
      <c r="C312" t="s">
        <v>59</v>
      </c>
      <c r="D312" s="1">
        <v>6</v>
      </c>
      <c r="E312" s="3">
        <f>(D312)*(VLOOKUP(C312,CLIENTES,2,FALSE))</f>
        <v>90</v>
      </c>
    </row>
    <row r="313" spans="1:5" x14ac:dyDescent="0.25">
      <c r="A313">
        <f>ROW(A312)</f>
        <v>312</v>
      </c>
      <c r="B313" s="8">
        <v>44467</v>
      </c>
      <c r="C313" t="s">
        <v>125</v>
      </c>
      <c r="D313" s="1">
        <v>8</v>
      </c>
      <c r="E313" s="3" t="e">
        <f>(D313)*(VLOOKUP(C313,CLIENTES,2,FALSE))</f>
        <v>#N/A</v>
      </c>
    </row>
    <row r="314" spans="1:5" x14ac:dyDescent="0.25">
      <c r="A314">
        <f>ROW(A313)</f>
        <v>313</v>
      </c>
      <c r="B314" s="8">
        <v>44467</v>
      </c>
      <c r="C314" t="s">
        <v>73</v>
      </c>
      <c r="D314" s="1">
        <v>2</v>
      </c>
      <c r="E314" s="3">
        <f>(D314)*(VLOOKUP(C314,CLIENTES,2,FALSE))</f>
        <v>30</v>
      </c>
    </row>
    <row r="315" spans="1:5" x14ac:dyDescent="0.25">
      <c r="A315">
        <f>ROW(A314)</f>
        <v>314</v>
      </c>
      <c r="B315" s="8">
        <v>44467</v>
      </c>
      <c r="C315" t="s">
        <v>51</v>
      </c>
      <c r="D315" s="1">
        <v>4</v>
      </c>
      <c r="E315" s="3">
        <f>(D315)*(VLOOKUP(C315,CLIENTES,2,FALSE))</f>
        <v>60</v>
      </c>
    </row>
    <row r="316" spans="1:5" x14ac:dyDescent="0.25">
      <c r="A316">
        <f>ROW(A315)</f>
        <v>315</v>
      </c>
      <c r="B316" s="8">
        <v>44467</v>
      </c>
      <c r="C316" t="s">
        <v>88</v>
      </c>
      <c r="D316" s="1">
        <v>2</v>
      </c>
      <c r="E316" s="3">
        <f>(D316)*(VLOOKUP(C316,CLIENTES,2,FALSE))</f>
        <v>30</v>
      </c>
    </row>
    <row r="317" spans="1:5" x14ac:dyDescent="0.25">
      <c r="A317">
        <f>ROW(A316)</f>
        <v>316</v>
      </c>
      <c r="B317" s="8">
        <v>44467</v>
      </c>
      <c r="C317" t="s">
        <v>58</v>
      </c>
      <c r="D317" s="1">
        <v>2</v>
      </c>
      <c r="E317" s="3">
        <f>(D317)*(VLOOKUP(C317,CLIENTES,2,FALSE))</f>
        <v>30</v>
      </c>
    </row>
    <row r="318" spans="1:5" x14ac:dyDescent="0.25">
      <c r="A318">
        <f>ROW(A317)</f>
        <v>317</v>
      </c>
      <c r="B318" s="8">
        <v>44467</v>
      </c>
      <c r="C318" t="s">
        <v>134</v>
      </c>
      <c r="D318" s="1">
        <v>2</v>
      </c>
      <c r="E318" s="3" t="e">
        <f>(D318)*(VLOOKUP(C318,CLIENTES,2,FALSE))</f>
        <v>#N/A</v>
      </c>
    </row>
    <row r="319" spans="1:5" x14ac:dyDescent="0.25">
      <c r="A319">
        <f>ROW(A318)</f>
        <v>318</v>
      </c>
      <c r="B319" s="8">
        <v>44467</v>
      </c>
      <c r="C319" t="s">
        <v>27</v>
      </c>
      <c r="D319" s="1">
        <v>1</v>
      </c>
      <c r="E319" s="3">
        <f>(D319)*(VLOOKUP(C319,CLIENTES,2,FALSE))</f>
        <v>15</v>
      </c>
    </row>
    <row r="320" spans="1:5" x14ac:dyDescent="0.25">
      <c r="A320">
        <f>ROW(A319)</f>
        <v>319</v>
      </c>
      <c r="B320" s="8">
        <v>44467</v>
      </c>
      <c r="C320" t="s">
        <v>70</v>
      </c>
      <c r="D320" s="1">
        <v>1</v>
      </c>
      <c r="E320" s="3">
        <f>(D320)*(VLOOKUP(C320,CLIENTES,2,FALSE))</f>
        <v>15</v>
      </c>
    </row>
    <row r="321" spans="1:5" x14ac:dyDescent="0.25">
      <c r="A321">
        <f>ROW(A320)</f>
        <v>320</v>
      </c>
      <c r="B321" s="8">
        <v>44467</v>
      </c>
      <c r="C321" t="s">
        <v>147</v>
      </c>
      <c r="D321" s="1">
        <v>2</v>
      </c>
      <c r="E321" s="3">
        <f>(D321)*(VLOOKUP(C321,CLIENTES,2,FALSE))</f>
        <v>30</v>
      </c>
    </row>
    <row r="322" spans="1:5" x14ac:dyDescent="0.25">
      <c r="A322">
        <f>ROW(A321)</f>
        <v>321</v>
      </c>
      <c r="B322" s="8">
        <v>44467</v>
      </c>
      <c r="C322" t="s">
        <v>79</v>
      </c>
      <c r="D322" s="1">
        <v>2</v>
      </c>
      <c r="E322" s="3">
        <f>(D322)*(VLOOKUP(C322,CLIENTES,2,FALSE))</f>
        <v>30</v>
      </c>
    </row>
    <row r="323" spans="1:5" x14ac:dyDescent="0.25">
      <c r="A323">
        <f>ROW(A322)</f>
        <v>322</v>
      </c>
      <c r="B323" s="8">
        <v>44467</v>
      </c>
      <c r="C323" t="s">
        <v>15</v>
      </c>
      <c r="D323" s="1">
        <v>4</v>
      </c>
      <c r="E323" s="3">
        <f>(D323)*(VLOOKUP(C323,CLIENTES,2,FALSE))</f>
        <v>60</v>
      </c>
    </row>
    <row r="324" spans="1:5" x14ac:dyDescent="0.25">
      <c r="A324">
        <f>ROW(A323)</f>
        <v>323</v>
      </c>
      <c r="B324" s="8">
        <v>44467</v>
      </c>
      <c r="C324" t="s">
        <v>141</v>
      </c>
      <c r="D324" s="1">
        <v>8</v>
      </c>
      <c r="E324" s="3" t="e">
        <f>(D324)*(VLOOKUP(C324,CLIENTES,2,FALSE))</f>
        <v>#N/A</v>
      </c>
    </row>
    <row r="325" spans="1:5" x14ac:dyDescent="0.25">
      <c r="A325">
        <f>ROW(A324)</f>
        <v>324</v>
      </c>
      <c r="B325" s="8">
        <v>44467</v>
      </c>
      <c r="C325" t="s">
        <v>96</v>
      </c>
      <c r="D325" s="1">
        <v>10</v>
      </c>
      <c r="E325" s="3">
        <f>(D325)*(VLOOKUP(C325,CLIENTES,2,FALSE))</f>
        <v>130</v>
      </c>
    </row>
    <row r="326" spans="1:5" x14ac:dyDescent="0.25">
      <c r="A326">
        <f>ROW(A325)</f>
        <v>325</v>
      </c>
      <c r="B326" s="8">
        <v>44468</v>
      </c>
      <c r="C326" t="s">
        <v>106</v>
      </c>
      <c r="D326" s="1">
        <v>3</v>
      </c>
      <c r="E326" s="3">
        <f>(D326)*(VLOOKUP(C326,CLIENTES,2,FALSE))</f>
        <v>45</v>
      </c>
    </row>
    <row r="327" spans="1:5" x14ac:dyDescent="0.25">
      <c r="A327">
        <f>ROW(A326)</f>
        <v>326</v>
      </c>
      <c r="B327" s="8">
        <v>44468</v>
      </c>
      <c r="C327" t="s">
        <v>131</v>
      </c>
      <c r="D327" s="1">
        <v>3</v>
      </c>
      <c r="E327" s="3" t="e">
        <f>(D327)*(VLOOKUP(C327,CLIENTES,2,FALSE))</f>
        <v>#N/A</v>
      </c>
    </row>
    <row r="328" spans="1:5" x14ac:dyDescent="0.25">
      <c r="A328">
        <f>ROW(A327)</f>
        <v>327</v>
      </c>
      <c r="B328" s="8">
        <v>44468</v>
      </c>
      <c r="C328" t="s">
        <v>42</v>
      </c>
      <c r="D328" s="1">
        <v>6</v>
      </c>
      <c r="E328" s="3">
        <f>(D328)*(VLOOKUP(C328,CLIENTES,2,FALSE))</f>
        <v>90</v>
      </c>
    </row>
    <row r="329" spans="1:5" x14ac:dyDescent="0.25">
      <c r="A329">
        <f>ROW(A328)</f>
        <v>328</v>
      </c>
      <c r="B329" s="8">
        <v>44468</v>
      </c>
      <c r="C329" t="s">
        <v>137</v>
      </c>
      <c r="D329" s="1">
        <v>1</v>
      </c>
      <c r="E329" s="3">
        <f>(D329)*(VLOOKUP(C329,CLIENTES,2,FALSE))</f>
        <v>15</v>
      </c>
    </row>
    <row r="330" spans="1:5" x14ac:dyDescent="0.25">
      <c r="A330">
        <f>ROW(A329)</f>
        <v>329</v>
      </c>
      <c r="B330" s="8">
        <v>44468</v>
      </c>
      <c r="C330" t="s">
        <v>111</v>
      </c>
      <c r="D330" s="1">
        <v>2</v>
      </c>
      <c r="E330" s="3">
        <f>(D330)*(VLOOKUP(C330,CLIENTES,2,FALSE))</f>
        <v>30</v>
      </c>
    </row>
    <row r="331" spans="1:5" x14ac:dyDescent="0.25">
      <c r="A331">
        <f>ROW(A330)</f>
        <v>330</v>
      </c>
      <c r="B331" s="8">
        <v>44468</v>
      </c>
      <c r="C331" t="s">
        <v>33</v>
      </c>
      <c r="D331" s="1">
        <v>8</v>
      </c>
      <c r="E331" s="3">
        <f>(D331)*(VLOOKUP(C331,CLIENTES,2,FALSE))</f>
        <v>120</v>
      </c>
    </row>
    <row r="332" spans="1:5" x14ac:dyDescent="0.25">
      <c r="A332">
        <f>ROW(A331)</f>
        <v>331</v>
      </c>
      <c r="B332" s="8">
        <v>44468</v>
      </c>
      <c r="C332" t="s">
        <v>97</v>
      </c>
      <c r="D332" s="1">
        <v>4</v>
      </c>
      <c r="E332" s="3">
        <f>(D332)*(VLOOKUP(C332,CLIENTES,2,FALSE))</f>
        <v>60</v>
      </c>
    </row>
    <row r="333" spans="1:5" x14ac:dyDescent="0.25">
      <c r="A333">
        <f>ROW(A332)</f>
        <v>332</v>
      </c>
      <c r="B333" s="8">
        <v>44468</v>
      </c>
      <c r="C333" t="s">
        <v>74</v>
      </c>
      <c r="D333" s="1">
        <v>3</v>
      </c>
      <c r="E333" s="3">
        <f>(D333)*(VLOOKUP(C333,CLIENTES,2,FALSE))</f>
        <v>45</v>
      </c>
    </row>
    <row r="334" spans="1:5" x14ac:dyDescent="0.25">
      <c r="A334">
        <f>ROW(A333)</f>
        <v>333</v>
      </c>
      <c r="B334" s="8">
        <v>44468</v>
      </c>
      <c r="C334" t="s">
        <v>14</v>
      </c>
      <c r="D334" s="1">
        <v>2</v>
      </c>
      <c r="E334" s="3">
        <f>(D334)*(VLOOKUP(C334,CLIENTES,2,FALSE))</f>
        <v>30</v>
      </c>
    </row>
    <row r="335" spans="1:5" x14ac:dyDescent="0.25">
      <c r="A335">
        <f>ROW(A334)</f>
        <v>334</v>
      </c>
      <c r="B335" s="8">
        <v>44468</v>
      </c>
      <c r="C335" t="s">
        <v>98</v>
      </c>
      <c r="D335" s="1">
        <v>6</v>
      </c>
      <c r="E335" s="3" t="e">
        <f>(D335)*(VLOOKUP(C335,CLIENTES,2,FALSE))</f>
        <v>#N/A</v>
      </c>
    </row>
    <row r="336" spans="1:5" x14ac:dyDescent="0.25">
      <c r="A336">
        <f>ROW(A335)</f>
        <v>335</v>
      </c>
      <c r="B336" s="8">
        <v>44469</v>
      </c>
      <c r="C336" t="s">
        <v>64</v>
      </c>
      <c r="D336" s="1">
        <v>7</v>
      </c>
      <c r="E336" s="3">
        <f>(D336)*(VLOOKUP(C336,CLIENTES,2,FALSE))</f>
        <v>84</v>
      </c>
    </row>
    <row r="337" spans="1:5" x14ac:dyDescent="0.25">
      <c r="A337">
        <f>ROW(A336)</f>
        <v>336</v>
      </c>
      <c r="B337" s="8">
        <v>44469</v>
      </c>
      <c r="C337" t="s">
        <v>16</v>
      </c>
      <c r="D337" s="1">
        <v>2</v>
      </c>
      <c r="E337" s="3">
        <f>(D337)*(VLOOKUP(C337,CLIENTES,2,FALSE))</f>
        <v>24</v>
      </c>
    </row>
    <row r="338" spans="1:5" x14ac:dyDescent="0.25">
      <c r="A338">
        <f>ROW(A337)</f>
        <v>337</v>
      </c>
      <c r="B338" s="8">
        <v>44469</v>
      </c>
      <c r="C338" t="s">
        <v>99</v>
      </c>
      <c r="D338" s="1">
        <v>4</v>
      </c>
      <c r="E338" s="3" t="e">
        <f>(D338)*(VLOOKUP(C338,CLIENTES,2,FALSE))</f>
        <v>#N/A</v>
      </c>
    </row>
    <row r="339" spans="1:5" x14ac:dyDescent="0.25">
      <c r="A339">
        <f>ROW(A338)</f>
        <v>338</v>
      </c>
      <c r="B339" s="8">
        <v>44469</v>
      </c>
      <c r="C339" t="s">
        <v>62</v>
      </c>
      <c r="D339" s="1">
        <v>10</v>
      </c>
      <c r="E339" s="3">
        <f>(D339)*(VLOOKUP(C339,CLIENTES,2,FALSE))</f>
        <v>150</v>
      </c>
    </row>
    <row r="340" spans="1:5" x14ac:dyDescent="0.25">
      <c r="A340">
        <f>ROW(A339)</f>
        <v>339</v>
      </c>
      <c r="B340" s="8">
        <v>44469</v>
      </c>
      <c r="C340" t="s">
        <v>122</v>
      </c>
      <c r="D340" s="1">
        <v>10</v>
      </c>
      <c r="E340" s="3">
        <f>(D340)*(VLOOKUP(C340,CLIENTES,2,FALSE))</f>
        <v>150</v>
      </c>
    </row>
    <row r="341" spans="1:5" x14ac:dyDescent="0.25">
      <c r="A341">
        <f>ROW(A340)</f>
        <v>340</v>
      </c>
      <c r="B341" s="8">
        <v>44469</v>
      </c>
      <c r="C341" t="s">
        <v>41</v>
      </c>
      <c r="D341" s="1">
        <v>3</v>
      </c>
      <c r="E341" s="3">
        <f>(D341)*(VLOOKUP(C341,CLIENTES,2,FALSE))</f>
        <v>45</v>
      </c>
    </row>
    <row r="342" spans="1:5" x14ac:dyDescent="0.25">
      <c r="A342">
        <f>ROW(A341)</f>
        <v>341</v>
      </c>
      <c r="B342" s="8">
        <v>44469</v>
      </c>
      <c r="C342" t="s">
        <v>56</v>
      </c>
      <c r="D342" s="1">
        <v>4</v>
      </c>
      <c r="E342" s="3">
        <f>(D342)*(VLOOKUP(C342,CLIENTES,2,FALSE))</f>
        <v>60</v>
      </c>
    </row>
    <row r="343" spans="1:5" x14ac:dyDescent="0.25">
      <c r="A343">
        <f>ROW(A342)</f>
        <v>342</v>
      </c>
      <c r="B343" s="8">
        <v>44469</v>
      </c>
      <c r="C343" t="s">
        <v>79</v>
      </c>
      <c r="D343" s="1">
        <v>4</v>
      </c>
      <c r="E343" s="3">
        <f>(D343)*(VLOOKUP(C343,CLIENTES,2,FALSE))</f>
        <v>60</v>
      </c>
    </row>
    <row r="344" spans="1:5" x14ac:dyDescent="0.25">
      <c r="A344">
        <f>ROW(A343)</f>
        <v>343</v>
      </c>
      <c r="B344" s="8">
        <v>44469</v>
      </c>
      <c r="C344" t="s">
        <v>69</v>
      </c>
      <c r="D344" s="1">
        <v>3</v>
      </c>
      <c r="E344" s="3" t="e">
        <f>(D344)*(VLOOKUP(C344,CLIENTES,2,FALSE))</f>
        <v>#N/A</v>
      </c>
    </row>
    <row r="345" spans="1:5" x14ac:dyDescent="0.25">
      <c r="A345">
        <f>ROW(A344)</f>
        <v>344</v>
      </c>
      <c r="B345" s="8">
        <v>44469</v>
      </c>
      <c r="C345" t="s">
        <v>37</v>
      </c>
      <c r="D345" s="1">
        <v>8</v>
      </c>
      <c r="E345" s="3">
        <f>(D345)*(VLOOKUP(C345,CLIENTES,2,FALSE))</f>
        <v>120</v>
      </c>
    </row>
    <row r="346" spans="1:5" x14ac:dyDescent="0.25">
      <c r="A346">
        <f>ROW(A345)</f>
        <v>345</v>
      </c>
      <c r="B346" s="8">
        <v>44469</v>
      </c>
      <c r="C346" t="s">
        <v>123</v>
      </c>
      <c r="D346" s="1">
        <v>4</v>
      </c>
      <c r="E346" s="3">
        <f>(D346)*(VLOOKUP(C346,CLIENTES,2,FALSE))</f>
        <v>60</v>
      </c>
    </row>
    <row r="347" spans="1:5" x14ac:dyDescent="0.25">
      <c r="A347">
        <f>ROW(A346)</f>
        <v>346</v>
      </c>
      <c r="B347" s="8">
        <v>44469</v>
      </c>
      <c r="C347" t="s">
        <v>89</v>
      </c>
      <c r="D347" s="1">
        <v>1</v>
      </c>
      <c r="E347" s="3">
        <f>(D347)*(VLOOKUP(C347,CLIENTES,2,FALSE))</f>
        <v>15</v>
      </c>
    </row>
    <row r="348" spans="1:5" x14ac:dyDescent="0.25">
      <c r="A348">
        <f>ROW(A347)</f>
        <v>347</v>
      </c>
      <c r="B348" s="8">
        <v>44469</v>
      </c>
      <c r="C348" t="s">
        <v>100</v>
      </c>
      <c r="D348" s="1">
        <v>9</v>
      </c>
      <c r="E348" s="3" t="e">
        <f>(D348)*(VLOOKUP(C348,CLIENTES,2,FALSE))</f>
        <v>#N/A</v>
      </c>
    </row>
    <row r="349" spans="1:5" x14ac:dyDescent="0.25">
      <c r="A349">
        <f>ROW(A348)</f>
        <v>348</v>
      </c>
      <c r="B349" s="8">
        <v>44440</v>
      </c>
      <c r="C349" t="s">
        <v>77</v>
      </c>
      <c r="D349" s="1">
        <v>8</v>
      </c>
      <c r="E349" s="3">
        <f>(D349)*(VLOOKUP(C349,CLIENTES,2,FALSE))</f>
        <v>120</v>
      </c>
    </row>
    <row r="350" spans="1:5" x14ac:dyDescent="0.25">
      <c r="A350">
        <f>ROW(A349)</f>
        <v>349</v>
      </c>
      <c r="B350" s="8">
        <v>44440</v>
      </c>
      <c r="C350" t="s">
        <v>101</v>
      </c>
      <c r="D350" s="1">
        <v>8</v>
      </c>
      <c r="E350" s="3" t="e">
        <f>(D350)*(VLOOKUP(C350,CLIENTES,2,FALSE))</f>
        <v>#N/A</v>
      </c>
    </row>
    <row r="351" spans="1:5" x14ac:dyDescent="0.25">
      <c r="A351">
        <f>ROW(A350)</f>
        <v>350</v>
      </c>
      <c r="B351" s="8">
        <v>44440</v>
      </c>
      <c r="C351" t="s">
        <v>81</v>
      </c>
      <c r="D351" s="1">
        <v>2</v>
      </c>
      <c r="E351" s="3">
        <f>(D351)*(VLOOKUP(C351,CLIENTES,2,FALSE))</f>
        <v>30</v>
      </c>
    </row>
    <row r="352" spans="1:5" x14ac:dyDescent="0.25">
      <c r="A352">
        <f>ROW(A351)</f>
        <v>351</v>
      </c>
      <c r="B352" s="8">
        <v>44440</v>
      </c>
      <c r="C352" t="s">
        <v>127</v>
      </c>
      <c r="D352" s="1">
        <v>6</v>
      </c>
      <c r="E352" s="3">
        <f>(D352)*(VLOOKUP(C352,CLIENTES,2,FALSE))</f>
        <v>90</v>
      </c>
    </row>
    <row r="353" spans="1:5" x14ac:dyDescent="0.25">
      <c r="A353">
        <f>ROW(A352)</f>
        <v>352</v>
      </c>
      <c r="B353" s="8">
        <v>44440</v>
      </c>
      <c r="C353" t="s">
        <v>102</v>
      </c>
      <c r="D353" s="1">
        <v>2</v>
      </c>
      <c r="E353" s="3">
        <f>(D353)*(VLOOKUP(C353,CLIENTES,2,FALSE))</f>
        <v>30</v>
      </c>
    </row>
    <row r="354" spans="1:5" x14ac:dyDescent="0.25">
      <c r="A354">
        <f>ROW(A353)</f>
        <v>353</v>
      </c>
      <c r="B354" s="8">
        <v>44440</v>
      </c>
      <c r="C354" t="s">
        <v>137</v>
      </c>
      <c r="D354" s="1">
        <v>2</v>
      </c>
      <c r="E354" s="3">
        <f>(D354)*(VLOOKUP(C354,CLIENTES,2,FALSE))</f>
        <v>30</v>
      </c>
    </row>
    <row r="355" spans="1:5" x14ac:dyDescent="0.25">
      <c r="A355">
        <f>ROW(A354)</f>
        <v>354</v>
      </c>
      <c r="B355" s="8">
        <v>44440</v>
      </c>
      <c r="C355" t="s">
        <v>111</v>
      </c>
      <c r="D355" s="1">
        <v>4</v>
      </c>
      <c r="E355" s="3">
        <f>(D355)*(VLOOKUP(C355,CLIENTES,2,FALSE))</f>
        <v>60</v>
      </c>
    </row>
    <row r="356" spans="1:5" x14ac:dyDescent="0.25">
      <c r="A356">
        <f>ROW(A355)</f>
        <v>355</v>
      </c>
      <c r="B356" s="8">
        <v>44440</v>
      </c>
      <c r="C356" t="s">
        <v>124</v>
      </c>
      <c r="D356" s="1">
        <v>2</v>
      </c>
      <c r="E356" s="3">
        <f>(D356)*(VLOOKUP(C356,CLIENTES,2,FALSE))</f>
        <v>30</v>
      </c>
    </row>
    <row r="357" spans="1:5" x14ac:dyDescent="0.25">
      <c r="A357">
        <f>ROW(A356)</f>
        <v>356</v>
      </c>
      <c r="B357" s="8">
        <v>44440</v>
      </c>
      <c r="C357" t="s">
        <v>93</v>
      </c>
      <c r="D357" s="1">
        <v>3</v>
      </c>
      <c r="E357" s="3">
        <f>(D357)*(VLOOKUP(C357,CLIENTES,2,FALSE))</f>
        <v>45</v>
      </c>
    </row>
    <row r="358" spans="1:5" x14ac:dyDescent="0.25">
      <c r="A358">
        <f>ROW(A357)</f>
        <v>357</v>
      </c>
      <c r="B358" s="8">
        <v>44440</v>
      </c>
      <c r="C358" t="s">
        <v>103</v>
      </c>
      <c r="D358" s="1">
        <v>3</v>
      </c>
      <c r="E358" s="3">
        <f>(D358)*(VLOOKUP(C358,CLIENTES,2,FALSE))</f>
        <v>45</v>
      </c>
    </row>
    <row r="359" spans="1:5" x14ac:dyDescent="0.25">
      <c r="A359">
        <f>ROW(A358)</f>
        <v>358</v>
      </c>
      <c r="B359" s="8">
        <v>44440</v>
      </c>
      <c r="C359" t="s">
        <v>48</v>
      </c>
      <c r="D359" s="1">
        <v>9</v>
      </c>
      <c r="E359" s="3">
        <f>(D359)*(VLOOKUP(C359,CLIENTES,2,FALSE))</f>
        <v>117</v>
      </c>
    </row>
    <row r="360" spans="1:5" x14ac:dyDescent="0.25">
      <c r="A360">
        <f>ROW(A359)</f>
        <v>359</v>
      </c>
      <c r="B360" s="8">
        <v>44440</v>
      </c>
      <c r="C360" t="s">
        <v>49</v>
      </c>
      <c r="D360" s="1">
        <v>7</v>
      </c>
      <c r="E360" s="3">
        <f>(D360)*(VLOOKUP(C360,CLIENTES,2,FALSE))</f>
        <v>105</v>
      </c>
    </row>
    <row r="361" spans="1:5" x14ac:dyDescent="0.25">
      <c r="A361">
        <f>ROW(A360)</f>
        <v>360</v>
      </c>
      <c r="B361" s="8">
        <v>44440</v>
      </c>
      <c r="C361" t="s">
        <v>75</v>
      </c>
      <c r="D361" s="1">
        <v>2</v>
      </c>
      <c r="E361" s="3">
        <f>(D361)*(VLOOKUP(C361,CLIENTES,2,FALSE))</f>
        <v>30</v>
      </c>
    </row>
    <row r="362" spans="1:5" x14ac:dyDescent="0.25">
      <c r="A362">
        <f>ROW(A361)</f>
        <v>361</v>
      </c>
      <c r="B362" s="8">
        <v>44440</v>
      </c>
      <c r="C362" t="s">
        <v>104</v>
      </c>
      <c r="D362" s="1">
        <v>3</v>
      </c>
      <c r="E362" s="3">
        <f>(D362)*(VLOOKUP(C362,CLIENTES,2,FALSE))</f>
        <v>45</v>
      </c>
    </row>
    <row r="363" spans="1:5" x14ac:dyDescent="0.25">
      <c r="A363">
        <f>ROW(A362)</f>
        <v>362</v>
      </c>
      <c r="B363" s="8">
        <v>44440</v>
      </c>
      <c r="C363" t="s">
        <v>61</v>
      </c>
      <c r="D363" s="1">
        <v>2</v>
      </c>
      <c r="E363" s="3">
        <f>(D363)*(VLOOKUP(C363,CLIENTES,2,FALSE))</f>
        <v>30</v>
      </c>
    </row>
    <row r="364" spans="1:5" x14ac:dyDescent="0.25">
      <c r="A364">
        <f>ROW(A363)</f>
        <v>363</v>
      </c>
      <c r="B364" s="8">
        <v>44440</v>
      </c>
      <c r="C364" t="s">
        <v>162</v>
      </c>
      <c r="D364" s="1">
        <v>1</v>
      </c>
      <c r="E364" s="3" t="e">
        <f>(D364)*(VLOOKUP(C364,CLIENTES,2,FALSE))</f>
        <v>#N/A</v>
      </c>
    </row>
    <row r="365" spans="1:5" x14ac:dyDescent="0.25">
      <c r="A365">
        <f>ROW(A364)</f>
        <v>364</v>
      </c>
      <c r="B365" s="8">
        <v>44440</v>
      </c>
      <c r="C365" t="s">
        <v>87</v>
      </c>
      <c r="D365" s="1">
        <v>3</v>
      </c>
      <c r="E365" s="3">
        <f>(D365)*(VLOOKUP(C365,CLIENTES,2,FALSE))</f>
        <v>45</v>
      </c>
    </row>
    <row r="366" spans="1:5" x14ac:dyDescent="0.25">
      <c r="A366">
        <f>ROW(A365)</f>
        <v>365</v>
      </c>
      <c r="B366" s="8">
        <v>44440</v>
      </c>
      <c r="C366" t="s">
        <v>47</v>
      </c>
      <c r="D366" s="1">
        <v>1</v>
      </c>
      <c r="E366" s="3">
        <f>(D366)*(VLOOKUP(C366,CLIENTES,2,FALSE))</f>
        <v>15</v>
      </c>
    </row>
    <row r="367" spans="1:5" x14ac:dyDescent="0.25">
      <c r="A367">
        <f>ROW(A366)</f>
        <v>366</v>
      </c>
      <c r="B367" s="8">
        <v>44440</v>
      </c>
      <c r="C367" t="s">
        <v>14</v>
      </c>
      <c r="D367" s="1">
        <v>1</v>
      </c>
      <c r="E367" s="3">
        <f>(D367)*(VLOOKUP(C367,CLIENTES,2,FALSE))</f>
        <v>15</v>
      </c>
    </row>
    <row r="368" spans="1:5" x14ac:dyDescent="0.25">
      <c r="A368">
        <f>ROW(A367)</f>
        <v>367</v>
      </c>
      <c r="B368" s="8">
        <v>44440</v>
      </c>
      <c r="C368" t="s">
        <v>57</v>
      </c>
      <c r="D368" s="1">
        <v>1</v>
      </c>
      <c r="E368" s="3">
        <f>(D368)*(VLOOKUP(C368,CLIENTES,2,FALSE))</f>
        <v>15</v>
      </c>
    </row>
    <row r="369" spans="1:7" x14ac:dyDescent="0.25">
      <c r="A369">
        <f>ROW(A368)</f>
        <v>368</v>
      </c>
      <c r="B369" s="8">
        <v>44440</v>
      </c>
      <c r="C369" t="s">
        <v>27</v>
      </c>
      <c r="D369" s="1">
        <v>1</v>
      </c>
      <c r="E369" s="3">
        <f>(D369)*(VLOOKUP(C369,CLIENTES,2,FALSE))</f>
        <v>15</v>
      </c>
    </row>
    <row r="370" spans="1:7" x14ac:dyDescent="0.25">
      <c r="A370">
        <f>ROW(A369)</f>
        <v>369</v>
      </c>
      <c r="B370" s="8">
        <v>44440</v>
      </c>
      <c r="C370" t="s">
        <v>63</v>
      </c>
      <c r="D370" s="1">
        <v>9</v>
      </c>
      <c r="E370" s="3">
        <f>(D370)*(VLOOKUP(C370,CLIENTES,2,FALSE))</f>
        <v>135</v>
      </c>
    </row>
    <row r="371" spans="1:7" x14ac:dyDescent="0.25">
      <c r="A371">
        <f>ROW(A370)</f>
        <v>370</v>
      </c>
      <c r="B371" s="8">
        <v>44440</v>
      </c>
      <c r="C371" t="s">
        <v>88</v>
      </c>
      <c r="D371" s="1">
        <v>1</v>
      </c>
      <c r="E371" s="3">
        <f>(D371)*(VLOOKUP(C371,CLIENTES,2,FALSE))</f>
        <v>15</v>
      </c>
    </row>
    <row r="372" spans="1:7" x14ac:dyDescent="0.25">
      <c r="A372">
        <f>ROW(A371)</f>
        <v>371</v>
      </c>
      <c r="B372" s="8">
        <v>44440</v>
      </c>
      <c r="C372" t="s">
        <v>33</v>
      </c>
      <c r="D372" s="1">
        <v>6</v>
      </c>
      <c r="E372" s="3">
        <f>(D372)*(VLOOKUP(C372,CLIENTES,2,FALSE))</f>
        <v>90</v>
      </c>
    </row>
    <row r="373" spans="1:7" x14ac:dyDescent="0.25">
      <c r="A373">
        <f>ROW(A372)</f>
        <v>372</v>
      </c>
      <c r="B373" s="8">
        <v>44441</v>
      </c>
      <c r="C373" t="s">
        <v>161</v>
      </c>
      <c r="D373" s="1">
        <v>5</v>
      </c>
      <c r="E373" s="3" t="e">
        <f>(D373)*(VLOOKUP(C373,CLIENTES,2,FALSE))</f>
        <v>#N/A</v>
      </c>
    </row>
    <row r="374" spans="1:7" x14ac:dyDescent="0.25">
      <c r="A374">
        <f>ROW(A373)</f>
        <v>373</v>
      </c>
      <c r="B374" s="8">
        <v>44441</v>
      </c>
      <c r="C374" t="s">
        <v>79</v>
      </c>
      <c r="D374" s="1">
        <v>3</v>
      </c>
      <c r="E374" s="3">
        <f>(D374)*(VLOOKUP(C374,CLIENTES,2,FALSE))</f>
        <v>45</v>
      </c>
    </row>
    <row r="375" spans="1:7" x14ac:dyDescent="0.25">
      <c r="A375">
        <f>ROW(A374)</f>
        <v>374</v>
      </c>
      <c r="B375" s="8">
        <v>44441</v>
      </c>
      <c r="C375" t="s">
        <v>66</v>
      </c>
      <c r="D375" s="1">
        <v>5</v>
      </c>
      <c r="E375" s="3">
        <f>(D375)*(VLOOKUP(C375,CLIENTES,2,FALSE))</f>
        <v>75</v>
      </c>
    </row>
    <row r="376" spans="1:7" x14ac:dyDescent="0.25">
      <c r="A376">
        <f>ROW(A375)</f>
        <v>375</v>
      </c>
      <c r="B376" s="8">
        <v>44441</v>
      </c>
      <c r="C376" t="s">
        <v>106</v>
      </c>
      <c r="D376" s="1">
        <v>3</v>
      </c>
      <c r="E376" s="3">
        <f>(D376)*(VLOOKUP(C376,CLIENTES,2,FALSE))</f>
        <v>45</v>
      </c>
    </row>
    <row r="377" spans="1:7" x14ac:dyDescent="0.25">
      <c r="A377">
        <f>ROW(A376)</f>
        <v>376</v>
      </c>
      <c r="B377" s="8">
        <v>44441</v>
      </c>
      <c r="C377" t="s">
        <v>45</v>
      </c>
      <c r="D377" s="1">
        <v>1</v>
      </c>
      <c r="E377" s="3">
        <f>(D377)*(VLOOKUP(C377,CLIENTES,2,FALSE))</f>
        <v>15</v>
      </c>
    </row>
    <row r="378" spans="1:7" x14ac:dyDescent="0.25">
      <c r="A378">
        <f>ROW(A377)</f>
        <v>377</v>
      </c>
      <c r="B378" s="8">
        <v>44441</v>
      </c>
      <c r="C378" t="s">
        <v>88</v>
      </c>
      <c r="D378" s="1">
        <v>1</v>
      </c>
      <c r="E378" s="3">
        <f>(D378)*(VLOOKUP(C378,CLIENTES,2,FALSE))</f>
        <v>15</v>
      </c>
    </row>
    <row r="379" spans="1:7" x14ac:dyDescent="0.25">
      <c r="A379">
        <f>ROW(A378)</f>
        <v>378</v>
      </c>
      <c r="B379" s="8">
        <v>44441</v>
      </c>
      <c r="C379" t="s">
        <v>122</v>
      </c>
      <c r="D379" s="1">
        <v>12</v>
      </c>
      <c r="E379" s="3">
        <f>(D379)*(VLOOKUP(C379,CLIENTES,2,FALSE))</f>
        <v>180</v>
      </c>
    </row>
    <row r="380" spans="1:7" x14ac:dyDescent="0.25">
      <c r="A380">
        <f>ROW(A379)</f>
        <v>379</v>
      </c>
      <c r="B380" s="8">
        <v>44441</v>
      </c>
      <c r="C380" t="s">
        <v>58</v>
      </c>
      <c r="D380" s="1">
        <v>3</v>
      </c>
      <c r="E380" s="3">
        <f>(D380)*(VLOOKUP(C380,CLIENTES,2,FALSE))</f>
        <v>45</v>
      </c>
    </row>
    <row r="381" spans="1:7" x14ac:dyDescent="0.25">
      <c r="A381">
        <v>380</v>
      </c>
      <c r="B381" s="8">
        <v>44471.678217592591</v>
      </c>
      <c r="C381" t="s">
        <v>160</v>
      </c>
      <c r="D381" s="1">
        <v>2</v>
      </c>
      <c r="E381" s="3">
        <v>30</v>
      </c>
    </row>
    <row r="382" spans="1:7" x14ac:dyDescent="0.25">
      <c r="E382" s="3"/>
    </row>
    <row r="383" spans="1:7" x14ac:dyDescent="0.25">
      <c r="B383" s="7"/>
      <c r="D383"/>
      <c r="E383"/>
      <c r="G383"/>
    </row>
    <row r="384" spans="1:7" x14ac:dyDescent="0.25">
      <c r="D384"/>
      <c r="E384"/>
      <c r="G384"/>
    </row>
    <row r="385" spans="4:7" x14ac:dyDescent="0.25">
      <c r="D385"/>
      <c r="E385"/>
      <c r="G385"/>
    </row>
    <row r="386" spans="4:7" x14ac:dyDescent="0.25">
      <c r="D386"/>
      <c r="E386"/>
      <c r="G386"/>
    </row>
    <row r="387" spans="4:7" x14ac:dyDescent="0.25">
      <c r="D387"/>
      <c r="E387"/>
      <c r="G387"/>
    </row>
  </sheetData>
  <sortState xmlns:xlrd2="http://schemas.microsoft.com/office/spreadsheetml/2017/richdata2" ref="A2:E386">
    <sortCondition ref="A372:A38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0ED3-12C9-4CD1-A982-E4E4727D7625}">
  <sheetPr codeName="Hoja3"/>
  <dimension ref="A1:J84"/>
  <sheetViews>
    <sheetView zoomScale="115" zoomScaleNormal="115" workbookViewId="0">
      <selection activeCell="A45" sqref="A45"/>
    </sheetView>
  </sheetViews>
  <sheetFormatPr baseColWidth="10" defaultColWidth="10.7109375" defaultRowHeight="15" x14ac:dyDescent="0.25"/>
  <cols>
    <col min="1" max="1" width="28.28515625" bestFit="1" customWidth="1"/>
    <col min="2" max="2" width="8" style="5" bestFit="1" customWidth="1"/>
    <col min="3" max="3" width="23.28515625" bestFit="1" customWidth="1"/>
    <col min="4" max="4" width="12" bestFit="1" customWidth="1"/>
    <col min="5" max="5" width="13" bestFit="1" customWidth="1"/>
    <col min="6" max="6" width="14.28515625" bestFit="1" customWidth="1"/>
    <col min="7" max="7" width="15.140625" bestFit="1" customWidth="1"/>
    <col min="8" max="8" width="7.85546875" bestFit="1" customWidth="1"/>
    <col min="9" max="9" width="7.42578125" bestFit="1" customWidth="1"/>
    <col min="10" max="10" width="11.140625" bestFit="1" customWidth="1"/>
  </cols>
  <sheetData>
    <row r="1" spans="1:10" x14ac:dyDescent="0.25">
      <c r="A1" t="s">
        <v>129</v>
      </c>
      <c r="B1" s="5" t="s">
        <v>2</v>
      </c>
      <c r="C1" t="s">
        <v>3</v>
      </c>
      <c r="D1" t="s">
        <v>4</v>
      </c>
      <c r="E1" t="s">
        <v>13</v>
      </c>
      <c r="F1" t="s">
        <v>5</v>
      </c>
      <c r="G1" t="s">
        <v>6</v>
      </c>
      <c r="H1" t="s">
        <v>7</v>
      </c>
      <c r="I1" t="s">
        <v>8</v>
      </c>
      <c r="J1" s="1" t="s">
        <v>159</v>
      </c>
    </row>
    <row r="2" spans="1:10" x14ac:dyDescent="0.25">
      <c r="A2" t="s">
        <v>63</v>
      </c>
      <c r="B2" s="5">
        <v>15</v>
      </c>
      <c r="C2" t="s">
        <v>17</v>
      </c>
      <c r="D2" s="1">
        <v>224</v>
      </c>
      <c r="E2" s="1">
        <v>29059</v>
      </c>
      <c r="F2" t="s">
        <v>18</v>
      </c>
      <c r="G2" t="s">
        <v>9</v>
      </c>
      <c r="H2" t="s">
        <v>10</v>
      </c>
      <c r="I2" t="s">
        <v>11</v>
      </c>
      <c r="J2" s="1">
        <v>1</v>
      </c>
    </row>
    <row r="3" spans="1:10" x14ac:dyDescent="0.25">
      <c r="A3" t="s">
        <v>16</v>
      </c>
      <c r="B3" s="5">
        <v>12</v>
      </c>
      <c r="C3" t="s">
        <v>19</v>
      </c>
      <c r="D3" s="1">
        <v>0</v>
      </c>
      <c r="E3" s="1">
        <v>29000</v>
      </c>
      <c r="F3" t="s">
        <v>18</v>
      </c>
      <c r="G3" t="s">
        <v>9</v>
      </c>
      <c r="H3" t="s">
        <v>10</v>
      </c>
      <c r="I3" t="s">
        <v>11</v>
      </c>
      <c r="J3" s="1">
        <v>2</v>
      </c>
    </row>
    <row r="4" spans="1:10" x14ac:dyDescent="0.25">
      <c r="A4" t="s">
        <v>64</v>
      </c>
      <c r="B4" s="5">
        <v>12</v>
      </c>
      <c r="C4" t="s">
        <v>22</v>
      </c>
      <c r="D4" s="1">
        <v>0</v>
      </c>
      <c r="E4" s="1">
        <v>29050</v>
      </c>
      <c r="F4" t="s">
        <v>12</v>
      </c>
      <c r="G4" t="s">
        <v>9</v>
      </c>
      <c r="H4" t="s">
        <v>10</v>
      </c>
      <c r="I4" t="s">
        <v>11</v>
      </c>
      <c r="J4" s="1">
        <v>3</v>
      </c>
    </row>
    <row r="5" spans="1:10" x14ac:dyDescent="0.25">
      <c r="A5" t="s">
        <v>96</v>
      </c>
      <c r="B5" s="5">
        <v>13</v>
      </c>
      <c r="C5" t="s">
        <v>155</v>
      </c>
      <c r="D5" t="s">
        <v>155</v>
      </c>
      <c r="E5" t="s">
        <v>155</v>
      </c>
      <c r="F5" t="s">
        <v>155</v>
      </c>
      <c r="G5" t="s">
        <v>9</v>
      </c>
      <c r="H5" t="s">
        <v>10</v>
      </c>
      <c r="I5" t="s">
        <v>11</v>
      </c>
      <c r="J5" s="1">
        <v>4</v>
      </c>
    </row>
    <row r="6" spans="1:10" x14ac:dyDescent="0.25">
      <c r="A6" t="s">
        <v>77</v>
      </c>
      <c r="B6" s="5">
        <v>15</v>
      </c>
      <c r="C6" t="s">
        <v>22</v>
      </c>
      <c r="D6" s="1">
        <v>688</v>
      </c>
      <c r="E6" s="1">
        <v>29050</v>
      </c>
      <c r="F6" t="s">
        <v>12</v>
      </c>
      <c r="G6" t="s">
        <v>9</v>
      </c>
      <c r="H6" t="s">
        <v>10</v>
      </c>
      <c r="I6" t="s">
        <v>11</v>
      </c>
      <c r="J6" s="1">
        <v>5</v>
      </c>
    </row>
    <row r="7" spans="1:10" x14ac:dyDescent="0.25">
      <c r="A7" t="s">
        <v>33</v>
      </c>
      <c r="B7" s="5">
        <v>15</v>
      </c>
      <c r="C7" t="s">
        <v>23</v>
      </c>
      <c r="D7" s="1">
        <v>107</v>
      </c>
      <c r="E7" s="1">
        <v>29050</v>
      </c>
      <c r="F7" t="s">
        <v>24</v>
      </c>
      <c r="G7" t="s">
        <v>9</v>
      </c>
      <c r="H7" t="s">
        <v>10</v>
      </c>
      <c r="I7" t="s">
        <v>11</v>
      </c>
      <c r="J7" s="1">
        <v>6</v>
      </c>
    </row>
    <row r="8" spans="1:10" x14ac:dyDescent="0.25">
      <c r="A8" t="s">
        <v>72</v>
      </c>
      <c r="B8" s="5">
        <v>15</v>
      </c>
      <c r="C8" t="s">
        <v>25</v>
      </c>
      <c r="D8" s="1">
        <v>559</v>
      </c>
      <c r="E8" s="1">
        <v>29050</v>
      </c>
      <c r="F8" t="s">
        <v>24</v>
      </c>
      <c r="G8" t="s">
        <v>9</v>
      </c>
      <c r="H8" t="s">
        <v>10</v>
      </c>
      <c r="I8" t="s">
        <v>11</v>
      </c>
      <c r="J8" s="1">
        <v>7</v>
      </c>
    </row>
    <row r="9" spans="1:10" x14ac:dyDescent="0.25">
      <c r="A9" t="s">
        <v>93</v>
      </c>
      <c r="B9" s="5">
        <v>15</v>
      </c>
      <c r="C9" t="s">
        <v>26</v>
      </c>
      <c r="D9" s="1">
        <v>182</v>
      </c>
      <c r="E9" s="1">
        <v>29050</v>
      </c>
      <c r="F9" t="s">
        <v>12</v>
      </c>
      <c r="G9" t="s">
        <v>9</v>
      </c>
      <c r="H9" t="s">
        <v>10</v>
      </c>
      <c r="I9" t="s">
        <v>11</v>
      </c>
      <c r="J9" s="1">
        <v>8</v>
      </c>
    </row>
    <row r="10" spans="1:10" x14ac:dyDescent="0.25">
      <c r="A10" t="s">
        <v>59</v>
      </c>
      <c r="B10" s="5">
        <v>15</v>
      </c>
      <c r="C10" t="s">
        <v>28</v>
      </c>
      <c r="D10" s="1">
        <v>557</v>
      </c>
      <c r="E10" s="1">
        <v>29050</v>
      </c>
      <c r="F10" t="s">
        <v>12</v>
      </c>
      <c r="G10" t="s">
        <v>9</v>
      </c>
      <c r="H10" t="s">
        <v>10</v>
      </c>
      <c r="I10" t="s">
        <v>11</v>
      </c>
      <c r="J10" s="1">
        <v>9</v>
      </c>
    </row>
    <row r="11" spans="1:10" x14ac:dyDescent="0.25">
      <c r="A11" t="s">
        <v>128</v>
      </c>
      <c r="B11" s="5">
        <v>15</v>
      </c>
      <c r="C11" t="s">
        <v>28</v>
      </c>
      <c r="D11" s="1">
        <v>555</v>
      </c>
      <c r="E11" s="1">
        <v>29050</v>
      </c>
      <c r="F11" t="s">
        <v>12</v>
      </c>
      <c r="G11" t="s">
        <v>9</v>
      </c>
      <c r="H11" t="s">
        <v>10</v>
      </c>
      <c r="I11" t="s">
        <v>11</v>
      </c>
      <c r="J11" s="1">
        <v>10</v>
      </c>
    </row>
    <row r="12" spans="1:10" x14ac:dyDescent="0.25">
      <c r="A12" t="s">
        <v>160</v>
      </c>
      <c r="B12" s="5">
        <v>15</v>
      </c>
      <c r="C12" t="s">
        <v>155</v>
      </c>
      <c r="D12" t="s">
        <v>155</v>
      </c>
      <c r="E12" t="s">
        <v>155</v>
      </c>
      <c r="F12" t="s">
        <v>155</v>
      </c>
      <c r="G12" t="s">
        <v>9</v>
      </c>
      <c r="H12" t="s">
        <v>10</v>
      </c>
      <c r="I12" t="s">
        <v>11</v>
      </c>
      <c r="J12" s="1">
        <v>11</v>
      </c>
    </row>
    <row r="13" spans="1:10" x14ac:dyDescent="0.25">
      <c r="A13" t="s">
        <v>74</v>
      </c>
      <c r="B13" s="5">
        <v>15</v>
      </c>
      <c r="C13" t="s">
        <v>26</v>
      </c>
      <c r="D13" s="1">
        <v>325</v>
      </c>
      <c r="E13" s="1">
        <v>29050</v>
      </c>
      <c r="F13" t="s">
        <v>12</v>
      </c>
      <c r="G13" t="s">
        <v>9</v>
      </c>
      <c r="H13" t="s">
        <v>10</v>
      </c>
      <c r="I13" t="s">
        <v>11</v>
      </c>
      <c r="J13" s="1">
        <v>12</v>
      </c>
    </row>
    <row r="14" spans="1:10" x14ac:dyDescent="0.25">
      <c r="A14" t="s">
        <v>71</v>
      </c>
      <c r="B14" s="5">
        <v>15</v>
      </c>
      <c r="C14" t="s">
        <v>30</v>
      </c>
      <c r="D14" s="1">
        <v>556</v>
      </c>
      <c r="E14" s="1">
        <v>29050</v>
      </c>
      <c r="F14" t="s">
        <v>12</v>
      </c>
      <c r="G14" t="s">
        <v>9</v>
      </c>
      <c r="H14" t="s">
        <v>10</v>
      </c>
      <c r="I14" t="s">
        <v>11</v>
      </c>
      <c r="J14" s="1">
        <v>13</v>
      </c>
    </row>
    <row r="15" spans="1:10" x14ac:dyDescent="0.25">
      <c r="A15" t="s">
        <v>58</v>
      </c>
      <c r="B15" s="5">
        <v>15</v>
      </c>
      <c r="C15" t="s">
        <v>32</v>
      </c>
      <c r="D15" s="1">
        <v>514</v>
      </c>
      <c r="E15" s="1">
        <v>29050</v>
      </c>
      <c r="F15" t="s">
        <v>24</v>
      </c>
      <c r="G15" t="s">
        <v>9</v>
      </c>
      <c r="H15" t="s">
        <v>10</v>
      </c>
      <c r="I15" t="s">
        <v>11</v>
      </c>
      <c r="J15" s="1">
        <v>14</v>
      </c>
    </row>
    <row r="16" spans="1:10" x14ac:dyDescent="0.25">
      <c r="A16" t="s">
        <v>39</v>
      </c>
      <c r="B16" s="5">
        <v>15</v>
      </c>
      <c r="C16" t="s">
        <v>32</v>
      </c>
      <c r="D16" s="1">
        <v>400</v>
      </c>
      <c r="E16" s="1">
        <v>29050</v>
      </c>
      <c r="F16" t="s">
        <v>24</v>
      </c>
      <c r="G16" t="s">
        <v>9</v>
      </c>
      <c r="H16" t="s">
        <v>10</v>
      </c>
      <c r="I16" t="s">
        <v>11</v>
      </c>
      <c r="J16" s="1">
        <v>15</v>
      </c>
    </row>
    <row r="17" spans="1:10" x14ac:dyDescent="0.25">
      <c r="A17" t="s">
        <v>38</v>
      </c>
      <c r="B17" s="5">
        <v>15</v>
      </c>
      <c r="C17" t="s">
        <v>34</v>
      </c>
      <c r="D17" s="1">
        <v>0</v>
      </c>
      <c r="E17" s="1">
        <v>29057</v>
      </c>
      <c r="F17" t="s">
        <v>21</v>
      </c>
      <c r="G17" t="s">
        <v>9</v>
      </c>
      <c r="H17" t="s">
        <v>10</v>
      </c>
      <c r="I17" t="s">
        <v>11</v>
      </c>
      <c r="J17" s="1">
        <v>16</v>
      </c>
    </row>
    <row r="18" spans="1:10" x14ac:dyDescent="0.25">
      <c r="A18" t="s">
        <v>122</v>
      </c>
      <c r="B18" s="5">
        <v>15</v>
      </c>
      <c r="C18" t="s">
        <v>155</v>
      </c>
      <c r="D18" t="s">
        <v>155</v>
      </c>
      <c r="E18" t="s">
        <v>155</v>
      </c>
      <c r="F18" t="s">
        <v>156</v>
      </c>
      <c r="G18" t="s">
        <v>9</v>
      </c>
      <c r="H18" t="s">
        <v>10</v>
      </c>
      <c r="I18" t="s">
        <v>11</v>
      </c>
      <c r="J18" s="1">
        <v>17</v>
      </c>
    </row>
    <row r="19" spans="1:10" x14ac:dyDescent="0.25">
      <c r="A19" t="s">
        <v>89</v>
      </c>
      <c r="B19" s="5">
        <v>15</v>
      </c>
      <c r="C19" t="s">
        <v>35</v>
      </c>
      <c r="D19" s="1">
        <v>110</v>
      </c>
      <c r="E19" s="1">
        <v>29057</v>
      </c>
      <c r="F19" t="s">
        <v>21</v>
      </c>
      <c r="G19" t="s">
        <v>9</v>
      </c>
      <c r="H19" t="s">
        <v>10</v>
      </c>
      <c r="I19" t="s">
        <v>11</v>
      </c>
      <c r="J19" s="1">
        <v>18</v>
      </c>
    </row>
    <row r="20" spans="1:10" x14ac:dyDescent="0.25">
      <c r="A20" t="s">
        <v>67</v>
      </c>
      <c r="B20" s="5">
        <v>15</v>
      </c>
      <c r="C20" t="s">
        <v>155</v>
      </c>
      <c r="E20" s="1">
        <v>29057</v>
      </c>
      <c r="F20" t="s">
        <v>21</v>
      </c>
      <c r="G20" t="s">
        <v>9</v>
      </c>
      <c r="H20" t="s">
        <v>10</v>
      </c>
      <c r="I20" t="s">
        <v>11</v>
      </c>
      <c r="J20" s="1">
        <v>19</v>
      </c>
    </row>
    <row r="21" spans="1:10" x14ac:dyDescent="0.25">
      <c r="A21" t="s">
        <v>124</v>
      </c>
      <c r="B21" s="5">
        <v>15</v>
      </c>
      <c r="C21" t="s">
        <v>155</v>
      </c>
      <c r="D21" t="s">
        <v>155</v>
      </c>
      <c r="E21" s="1">
        <v>29050</v>
      </c>
      <c r="F21" t="s">
        <v>12</v>
      </c>
      <c r="G21" t="s">
        <v>9</v>
      </c>
      <c r="H21" t="s">
        <v>10</v>
      </c>
      <c r="I21" t="s">
        <v>11</v>
      </c>
      <c r="J21" s="1">
        <v>20</v>
      </c>
    </row>
    <row r="22" spans="1:10" x14ac:dyDescent="0.25">
      <c r="A22" t="s">
        <v>126</v>
      </c>
      <c r="B22" s="5">
        <v>15</v>
      </c>
      <c r="C22" t="s">
        <v>31</v>
      </c>
      <c r="D22" s="1">
        <v>180</v>
      </c>
      <c r="E22" s="1">
        <v>29050</v>
      </c>
      <c r="F22" t="s">
        <v>12</v>
      </c>
      <c r="G22" t="s">
        <v>9</v>
      </c>
      <c r="H22" t="s">
        <v>10</v>
      </c>
      <c r="I22" t="s">
        <v>11</v>
      </c>
      <c r="J22" s="1">
        <v>21</v>
      </c>
    </row>
    <row r="23" spans="1:10" x14ac:dyDescent="0.25">
      <c r="A23" t="s">
        <v>78</v>
      </c>
      <c r="B23" s="5">
        <v>15</v>
      </c>
      <c r="C23" t="s">
        <v>155</v>
      </c>
      <c r="D23" t="s">
        <v>155</v>
      </c>
      <c r="E23" s="1">
        <v>29050</v>
      </c>
      <c r="F23" t="s">
        <v>12</v>
      </c>
      <c r="G23" t="s">
        <v>9</v>
      </c>
      <c r="H23" t="s">
        <v>10</v>
      </c>
      <c r="I23" t="s">
        <v>11</v>
      </c>
      <c r="J23" s="1">
        <v>22</v>
      </c>
    </row>
    <row r="24" spans="1:10" x14ac:dyDescent="0.25">
      <c r="A24" t="s">
        <v>14</v>
      </c>
      <c r="B24" s="5">
        <v>15</v>
      </c>
      <c r="C24" t="s">
        <v>155</v>
      </c>
      <c r="D24" t="s">
        <v>155</v>
      </c>
      <c r="E24" s="1">
        <v>29050</v>
      </c>
      <c r="F24" t="s">
        <v>12</v>
      </c>
      <c r="G24" t="s">
        <v>9</v>
      </c>
      <c r="H24" t="s">
        <v>10</v>
      </c>
      <c r="I24" t="s">
        <v>11</v>
      </c>
      <c r="J24" s="1">
        <v>23</v>
      </c>
    </row>
    <row r="25" spans="1:10" x14ac:dyDescent="0.25">
      <c r="A25" t="s">
        <v>118</v>
      </c>
      <c r="B25" s="5">
        <v>15</v>
      </c>
      <c r="C25" t="s">
        <v>155</v>
      </c>
      <c r="D25" t="s">
        <v>155</v>
      </c>
      <c r="E25" t="s">
        <v>155</v>
      </c>
      <c r="F25" t="s">
        <v>155</v>
      </c>
      <c r="G25" t="s">
        <v>9</v>
      </c>
      <c r="H25" t="s">
        <v>10</v>
      </c>
      <c r="I25" t="s">
        <v>11</v>
      </c>
      <c r="J25" s="1">
        <v>24</v>
      </c>
    </row>
    <row r="26" spans="1:10" x14ac:dyDescent="0.25">
      <c r="A26" t="s">
        <v>88</v>
      </c>
      <c r="B26" s="5">
        <v>15</v>
      </c>
      <c r="C26" t="s">
        <v>155</v>
      </c>
      <c r="D26" t="s">
        <v>155</v>
      </c>
      <c r="E26" s="1">
        <v>29050</v>
      </c>
      <c r="F26" t="s">
        <v>12</v>
      </c>
      <c r="G26" t="s">
        <v>9</v>
      </c>
      <c r="H26" t="s">
        <v>10</v>
      </c>
      <c r="I26" t="s">
        <v>11</v>
      </c>
      <c r="J26" s="1">
        <v>25</v>
      </c>
    </row>
    <row r="27" spans="1:10" x14ac:dyDescent="0.25">
      <c r="A27" t="s">
        <v>44</v>
      </c>
      <c r="B27" s="5">
        <v>15</v>
      </c>
      <c r="C27" t="s">
        <v>155</v>
      </c>
      <c r="D27" t="s">
        <v>155</v>
      </c>
      <c r="E27" s="1">
        <v>29057</v>
      </c>
      <c r="F27" t="s">
        <v>21</v>
      </c>
      <c r="G27" t="s">
        <v>9</v>
      </c>
      <c r="H27" t="s">
        <v>10</v>
      </c>
      <c r="I27" t="s">
        <v>11</v>
      </c>
      <c r="J27" s="1">
        <v>26</v>
      </c>
    </row>
    <row r="28" spans="1:10" x14ac:dyDescent="0.25">
      <c r="A28" t="s">
        <v>102</v>
      </c>
      <c r="B28" s="5">
        <v>15</v>
      </c>
      <c r="C28" t="s">
        <v>20</v>
      </c>
      <c r="D28" s="1">
        <v>198</v>
      </c>
      <c r="E28" s="1">
        <v>29057</v>
      </c>
      <c r="F28" t="s">
        <v>21</v>
      </c>
      <c r="G28" t="s">
        <v>9</v>
      </c>
      <c r="H28" t="s">
        <v>10</v>
      </c>
      <c r="I28" t="s">
        <v>11</v>
      </c>
      <c r="J28" s="1">
        <v>27</v>
      </c>
    </row>
    <row r="29" spans="1:10" x14ac:dyDescent="0.25">
      <c r="A29" t="s">
        <v>42</v>
      </c>
      <c r="B29" s="5">
        <v>15</v>
      </c>
      <c r="C29" t="s">
        <v>155</v>
      </c>
      <c r="D29" t="s">
        <v>155</v>
      </c>
      <c r="E29" s="1">
        <v>29050</v>
      </c>
      <c r="F29" t="s">
        <v>12</v>
      </c>
      <c r="G29" t="s">
        <v>9</v>
      </c>
      <c r="H29" t="s">
        <v>10</v>
      </c>
      <c r="I29" t="s">
        <v>11</v>
      </c>
      <c r="J29" s="1">
        <v>28</v>
      </c>
    </row>
    <row r="30" spans="1:10" x14ac:dyDescent="0.25">
      <c r="A30" t="s">
        <v>90</v>
      </c>
      <c r="B30" s="5">
        <v>15</v>
      </c>
      <c r="C30" t="s">
        <v>155</v>
      </c>
      <c r="D30" t="s">
        <v>155</v>
      </c>
      <c r="E30" s="1">
        <v>29050</v>
      </c>
      <c r="F30" t="s">
        <v>12</v>
      </c>
      <c r="G30" t="s">
        <v>9</v>
      </c>
      <c r="H30" t="s">
        <v>10</v>
      </c>
      <c r="I30" t="s">
        <v>11</v>
      </c>
      <c r="J30" s="1">
        <v>29</v>
      </c>
    </row>
    <row r="31" spans="1:10" x14ac:dyDescent="0.25">
      <c r="A31" t="s">
        <v>53</v>
      </c>
      <c r="B31" s="5">
        <v>15</v>
      </c>
      <c r="C31" t="s">
        <v>155</v>
      </c>
      <c r="D31" t="s">
        <v>155</v>
      </c>
      <c r="E31" s="1">
        <v>29050</v>
      </c>
      <c r="F31" t="s">
        <v>12</v>
      </c>
      <c r="G31" t="s">
        <v>9</v>
      </c>
      <c r="H31" t="s">
        <v>10</v>
      </c>
      <c r="I31" t="s">
        <v>11</v>
      </c>
      <c r="J31" s="1">
        <v>30</v>
      </c>
    </row>
    <row r="32" spans="1:10" x14ac:dyDescent="0.25">
      <c r="A32" t="s">
        <v>55</v>
      </c>
      <c r="B32" s="5">
        <v>15</v>
      </c>
      <c r="C32" t="s">
        <v>155</v>
      </c>
      <c r="D32" t="s">
        <v>155</v>
      </c>
      <c r="E32" s="1">
        <v>29050</v>
      </c>
      <c r="F32" t="s">
        <v>12</v>
      </c>
      <c r="G32" t="s">
        <v>9</v>
      </c>
      <c r="H32" t="s">
        <v>10</v>
      </c>
      <c r="I32" t="s">
        <v>11</v>
      </c>
      <c r="J32" s="1">
        <v>31</v>
      </c>
    </row>
    <row r="33" spans="1:10" x14ac:dyDescent="0.25">
      <c r="A33" t="s">
        <v>73</v>
      </c>
      <c r="B33" s="5">
        <v>15</v>
      </c>
      <c r="C33" t="s">
        <v>155</v>
      </c>
      <c r="D33" t="s">
        <v>155</v>
      </c>
      <c r="E33" s="1">
        <v>29050</v>
      </c>
      <c r="F33" t="s">
        <v>12</v>
      </c>
      <c r="G33" t="s">
        <v>9</v>
      </c>
      <c r="H33" t="s">
        <v>10</v>
      </c>
      <c r="I33" t="s">
        <v>11</v>
      </c>
      <c r="J33" s="1">
        <v>32</v>
      </c>
    </row>
    <row r="34" spans="1:10" x14ac:dyDescent="0.25">
      <c r="A34" t="s">
        <v>36</v>
      </c>
      <c r="B34" s="5">
        <v>15</v>
      </c>
      <c r="C34" t="s">
        <v>155</v>
      </c>
      <c r="D34" t="s">
        <v>155</v>
      </c>
      <c r="E34" t="s">
        <v>155</v>
      </c>
      <c r="F34" t="s">
        <v>155</v>
      </c>
      <c r="G34" t="s">
        <v>9</v>
      </c>
      <c r="H34" t="s">
        <v>10</v>
      </c>
      <c r="I34" t="s">
        <v>11</v>
      </c>
      <c r="J34" s="1">
        <v>33</v>
      </c>
    </row>
    <row r="35" spans="1:10" x14ac:dyDescent="0.25">
      <c r="A35" t="s">
        <v>80</v>
      </c>
      <c r="B35" s="5">
        <v>15</v>
      </c>
      <c r="C35" t="s">
        <v>155</v>
      </c>
      <c r="D35" t="s">
        <v>155</v>
      </c>
      <c r="E35" s="1">
        <v>29050</v>
      </c>
      <c r="F35" t="s">
        <v>12</v>
      </c>
      <c r="G35" t="s">
        <v>9</v>
      </c>
      <c r="H35" t="s">
        <v>10</v>
      </c>
      <c r="I35" t="s">
        <v>11</v>
      </c>
      <c r="J35" s="1">
        <v>34</v>
      </c>
    </row>
    <row r="36" spans="1:10" x14ac:dyDescent="0.25">
      <c r="A36" t="s">
        <v>117</v>
      </c>
      <c r="B36" s="5">
        <v>15</v>
      </c>
      <c r="C36" t="s">
        <v>155</v>
      </c>
      <c r="D36" t="s">
        <v>155</v>
      </c>
      <c r="E36" s="1">
        <v>29057</v>
      </c>
      <c r="F36" t="s">
        <v>21</v>
      </c>
      <c r="G36" t="s">
        <v>9</v>
      </c>
      <c r="H36" t="s">
        <v>10</v>
      </c>
      <c r="I36" t="s">
        <v>11</v>
      </c>
      <c r="J36" s="1">
        <v>35</v>
      </c>
    </row>
    <row r="37" spans="1:10" x14ac:dyDescent="0.25">
      <c r="A37" t="s">
        <v>56</v>
      </c>
      <c r="B37" s="5">
        <v>15</v>
      </c>
      <c r="C37" t="s">
        <v>155</v>
      </c>
      <c r="D37" t="s">
        <v>155</v>
      </c>
      <c r="E37" s="1">
        <v>29057</v>
      </c>
      <c r="F37" t="s">
        <v>21</v>
      </c>
      <c r="G37" t="s">
        <v>9</v>
      </c>
      <c r="H37" t="s">
        <v>10</v>
      </c>
      <c r="I37" t="s">
        <v>11</v>
      </c>
      <c r="J37" s="1">
        <v>36</v>
      </c>
    </row>
    <row r="38" spans="1:10" x14ac:dyDescent="0.25">
      <c r="A38" t="s">
        <v>110</v>
      </c>
      <c r="B38" s="5">
        <v>15</v>
      </c>
      <c r="C38" t="s">
        <v>155</v>
      </c>
      <c r="D38" t="s">
        <v>155</v>
      </c>
      <c r="E38" s="1">
        <v>29057</v>
      </c>
      <c r="F38" t="s">
        <v>21</v>
      </c>
      <c r="G38" t="s">
        <v>9</v>
      </c>
      <c r="H38" t="s">
        <v>10</v>
      </c>
      <c r="I38" t="s">
        <v>11</v>
      </c>
      <c r="J38" s="1">
        <v>37</v>
      </c>
    </row>
    <row r="39" spans="1:10" x14ac:dyDescent="0.25">
      <c r="A39" t="s">
        <v>83</v>
      </c>
      <c r="B39" s="5">
        <v>15</v>
      </c>
      <c r="C39" t="s">
        <v>155</v>
      </c>
      <c r="D39" t="s">
        <v>155</v>
      </c>
      <c r="E39" s="1">
        <v>29057</v>
      </c>
      <c r="F39" t="s">
        <v>155</v>
      </c>
      <c r="G39" t="s">
        <v>9</v>
      </c>
      <c r="H39" t="s">
        <v>10</v>
      </c>
      <c r="I39" t="s">
        <v>11</v>
      </c>
      <c r="J39" s="1">
        <v>38</v>
      </c>
    </row>
    <row r="40" spans="1:10" x14ac:dyDescent="0.25">
      <c r="A40" t="s">
        <v>85</v>
      </c>
      <c r="B40" s="5">
        <v>15</v>
      </c>
      <c r="C40" t="s">
        <v>155</v>
      </c>
      <c r="D40" t="s">
        <v>155</v>
      </c>
      <c r="E40" s="1">
        <v>29057</v>
      </c>
      <c r="F40" t="s">
        <v>21</v>
      </c>
      <c r="G40" t="s">
        <v>9</v>
      </c>
      <c r="H40" t="s">
        <v>10</v>
      </c>
      <c r="I40" t="s">
        <v>11</v>
      </c>
      <c r="J40" s="1">
        <v>39</v>
      </c>
    </row>
    <row r="41" spans="1:10" x14ac:dyDescent="0.25">
      <c r="A41" t="s">
        <v>79</v>
      </c>
      <c r="B41" s="5">
        <v>15</v>
      </c>
      <c r="C41" t="s">
        <v>155</v>
      </c>
      <c r="D41" t="s">
        <v>155</v>
      </c>
      <c r="E41" s="1">
        <v>29057</v>
      </c>
      <c r="F41" t="s">
        <v>157</v>
      </c>
      <c r="G41" t="s">
        <v>9</v>
      </c>
      <c r="H41" t="s">
        <v>10</v>
      </c>
      <c r="I41" t="s">
        <v>11</v>
      </c>
      <c r="J41" s="1">
        <v>40</v>
      </c>
    </row>
    <row r="42" spans="1:10" x14ac:dyDescent="0.25">
      <c r="A42" t="s">
        <v>62</v>
      </c>
      <c r="B42" s="5">
        <v>15</v>
      </c>
      <c r="C42" t="s">
        <v>155</v>
      </c>
      <c r="D42" t="s">
        <v>155</v>
      </c>
      <c r="E42" t="s">
        <v>155</v>
      </c>
      <c r="F42" t="s">
        <v>155</v>
      </c>
      <c r="G42" t="s">
        <v>9</v>
      </c>
      <c r="H42" t="s">
        <v>10</v>
      </c>
      <c r="I42" t="s">
        <v>11</v>
      </c>
      <c r="J42" s="1">
        <v>41</v>
      </c>
    </row>
    <row r="43" spans="1:10" x14ac:dyDescent="0.25">
      <c r="A43" t="s">
        <v>91</v>
      </c>
      <c r="B43" s="5">
        <v>15</v>
      </c>
      <c r="C43" t="s">
        <v>155</v>
      </c>
      <c r="D43" t="s">
        <v>155</v>
      </c>
      <c r="E43" s="1">
        <v>29050</v>
      </c>
      <c r="F43" t="s">
        <v>12</v>
      </c>
      <c r="G43" t="s">
        <v>9</v>
      </c>
      <c r="H43" t="s">
        <v>10</v>
      </c>
      <c r="I43" t="s">
        <v>11</v>
      </c>
      <c r="J43" s="1">
        <v>42</v>
      </c>
    </row>
    <row r="44" spans="1:10" x14ac:dyDescent="0.25">
      <c r="A44" t="s">
        <v>86</v>
      </c>
      <c r="B44" s="5">
        <v>15</v>
      </c>
      <c r="C44" t="s">
        <v>155</v>
      </c>
      <c r="D44" t="s">
        <v>155</v>
      </c>
      <c r="E44" s="1">
        <v>29057</v>
      </c>
      <c r="F44" t="s">
        <v>157</v>
      </c>
      <c r="G44" t="s">
        <v>9</v>
      </c>
      <c r="H44" t="s">
        <v>10</v>
      </c>
      <c r="I44" t="s">
        <v>11</v>
      </c>
      <c r="J44" s="1">
        <v>43</v>
      </c>
    </row>
    <row r="45" spans="1:10" x14ac:dyDescent="0.25">
      <c r="A45" t="s">
        <v>15</v>
      </c>
      <c r="B45" s="5">
        <v>15</v>
      </c>
      <c r="C45" t="s">
        <v>155</v>
      </c>
      <c r="D45" t="s">
        <v>155</v>
      </c>
      <c r="E45" s="1">
        <v>29057</v>
      </c>
      <c r="F45" t="s">
        <v>21</v>
      </c>
      <c r="G45" t="s">
        <v>9</v>
      </c>
      <c r="H45" t="s">
        <v>10</v>
      </c>
      <c r="I45" t="s">
        <v>11</v>
      </c>
      <c r="J45" s="1">
        <v>44</v>
      </c>
    </row>
    <row r="46" spans="1:10" x14ac:dyDescent="0.25">
      <c r="A46" t="s">
        <v>87</v>
      </c>
      <c r="B46" s="5">
        <v>15</v>
      </c>
      <c r="C46" t="s">
        <v>155</v>
      </c>
      <c r="D46" t="s">
        <v>155</v>
      </c>
      <c r="E46" s="1">
        <v>29050</v>
      </c>
      <c r="F46" t="s">
        <v>12</v>
      </c>
      <c r="G46" t="s">
        <v>9</v>
      </c>
      <c r="H46" t="s">
        <v>10</v>
      </c>
      <c r="I46" t="s">
        <v>11</v>
      </c>
      <c r="J46" s="1">
        <v>45</v>
      </c>
    </row>
    <row r="47" spans="1:10" x14ac:dyDescent="0.25">
      <c r="A47" t="s">
        <v>116</v>
      </c>
      <c r="B47" s="5">
        <v>15</v>
      </c>
      <c r="C47" t="s">
        <v>155</v>
      </c>
      <c r="D47" t="s">
        <v>155</v>
      </c>
      <c r="E47" s="1">
        <v>29057</v>
      </c>
      <c r="F47" t="s">
        <v>21</v>
      </c>
      <c r="G47" t="s">
        <v>9</v>
      </c>
      <c r="H47" t="s">
        <v>10</v>
      </c>
      <c r="I47" t="s">
        <v>11</v>
      </c>
      <c r="J47" s="1">
        <v>46</v>
      </c>
    </row>
    <row r="48" spans="1:10" x14ac:dyDescent="0.25">
      <c r="A48" t="s">
        <v>61</v>
      </c>
      <c r="B48" s="5">
        <v>15</v>
      </c>
      <c r="C48" t="s">
        <v>155</v>
      </c>
      <c r="D48" t="s">
        <v>155</v>
      </c>
      <c r="E48" s="1">
        <v>29050</v>
      </c>
      <c r="F48" t="s">
        <v>12</v>
      </c>
      <c r="G48" t="s">
        <v>9</v>
      </c>
      <c r="H48" t="s">
        <v>10</v>
      </c>
      <c r="I48" t="s">
        <v>11</v>
      </c>
      <c r="J48" s="1">
        <v>47</v>
      </c>
    </row>
    <row r="49" spans="1:10" x14ac:dyDescent="0.25">
      <c r="A49" t="s">
        <v>75</v>
      </c>
      <c r="B49" s="5">
        <v>15</v>
      </c>
      <c r="C49" t="s">
        <v>155</v>
      </c>
      <c r="D49" t="s">
        <v>155</v>
      </c>
      <c r="E49" s="1">
        <v>29057</v>
      </c>
      <c r="F49" t="s">
        <v>21</v>
      </c>
      <c r="G49" t="s">
        <v>9</v>
      </c>
      <c r="H49" t="s">
        <v>10</v>
      </c>
      <c r="I49" t="s">
        <v>11</v>
      </c>
      <c r="J49" s="1">
        <v>48</v>
      </c>
    </row>
    <row r="50" spans="1:10" x14ac:dyDescent="0.25">
      <c r="A50" t="s">
        <v>115</v>
      </c>
      <c r="B50" s="5">
        <v>15</v>
      </c>
      <c r="C50" t="s">
        <v>155</v>
      </c>
      <c r="D50" t="s">
        <v>155</v>
      </c>
      <c r="E50" s="1">
        <v>29050</v>
      </c>
      <c r="F50" t="s">
        <v>12</v>
      </c>
      <c r="G50" t="s">
        <v>9</v>
      </c>
      <c r="H50" t="s">
        <v>10</v>
      </c>
      <c r="I50" t="s">
        <v>11</v>
      </c>
      <c r="J50" s="1">
        <v>49</v>
      </c>
    </row>
    <row r="51" spans="1:10" x14ac:dyDescent="0.25">
      <c r="A51" t="s">
        <v>27</v>
      </c>
      <c r="B51" s="5">
        <v>15</v>
      </c>
      <c r="C51" t="s">
        <v>155</v>
      </c>
      <c r="D51" t="s">
        <v>155</v>
      </c>
      <c r="E51" s="1">
        <v>29050</v>
      </c>
      <c r="F51" t="s">
        <v>12</v>
      </c>
      <c r="G51" t="s">
        <v>9</v>
      </c>
      <c r="H51" t="s">
        <v>10</v>
      </c>
      <c r="I51" t="s">
        <v>11</v>
      </c>
      <c r="J51" s="1">
        <v>50</v>
      </c>
    </row>
    <row r="52" spans="1:10" x14ac:dyDescent="0.25">
      <c r="A52" t="s">
        <v>114</v>
      </c>
      <c r="B52" s="5">
        <v>15</v>
      </c>
      <c r="C52" t="s">
        <v>155</v>
      </c>
      <c r="D52" t="s">
        <v>155</v>
      </c>
      <c r="E52" s="1">
        <v>29050</v>
      </c>
      <c r="F52" t="s">
        <v>12</v>
      </c>
      <c r="G52" t="s">
        <v>9</v>
      </c>
      <c r="H52" t="s">
        <v>10</v>
      </c>
      <c r="I52" t="s">
        <v>11</v>
      </c>
      <c r="J52" s="1">
        <v>51</v>
      </c>
    </row>
    <row r="53" spans="1:10" x14ac:dyDescent="0.25">
      <c r="A53" t="s">
        <v>49</v>
      </c>
      <c r="B53" s="5">
        <v>15</v>
      </c>
      <c r="C53" t="s">
        <v>155</v>
      </c>
      <c r="D53" t="s">
        <v>155</v>
      </c>
      <c r="E53" s="1">
        <v>29057</v>
      </c>
      <c r="F53" t="s">
        <v>21</v>
      </c>
      <c r="G53" t="s">
        <v>9</v>
      </c>
      <c r="H53" t="s">
        <v>10</v>
      </c>
      <c r="I53" t="s">
        <v>11</v>
      </c>
      <c r="J53" s="1">
        <v>52</v>
      </c>
    </row>
    <row r="54" spans="1:10" x14ac:dyDescent="0.25">
      <c r="A54" t="s">
        <v>127</v>
      </c>
      <c r="B54" s="5">
        <v>15</v>
      </c>
      <c r="C54" t="s">
        <v>26</v>
      </c>
      <c r="D54" s="1">
        <v>276</v>
      </c>
      <c r="E54" s="1">
        <v>29050</v>
      </c>
      <c r="F54" t="s">
        <v>12</v>
      </c>
      <c r="G54" t="s">
        <v>9</v>
      </c>
      <c r="H54" t="s">
        <v>10</v>
      </c>
      <c r="I54" t="s">
        <v>11</v>
      </c>
      <c r="J54" s="1">
        <v>53</v>
      </c>
    </row>
    <row r="55" spans="1:10" x14ac:dyDescent="0.25">
      <c r="A55" t="s">
        <v>57</v>
      </c>
      <c r="B55" s="5">
        <v>15</v>
      </c>
      <c r="C55" t="s">
        <v>155</v>
      </c>
      <c r="D55" t="s">
        <v>155</v>
      </c>
      <c r="E55" s="1">
        <v>29050</v>
      </c>
      <c r="F55" t="s">
        <v>12</v>
      </c>
      <c r="G55" t="s">
        <v>9</v>
      </c>
      <c r="H55" t="s">
        <v>10</v>
      </c>
      <c r="I55" t="s">
        <v>11</v>
      </c>
      <c r="J55" s="1">
        <v>54</v>
      </c>
    </row>
    <row r="56" spans="1:10" x14ac:dyDescent="0.25">
      <c r="A56" t="s">
        <v>113</v>
      </c>
      <c r="B56" s="5">
        <v>15</v>
      </c>
      <c r="C56" t="s">
        <v>155</v>
      </c>
      <c r="D56" t="s">
        <v>155</v>
      </c>
      <c r="E56" s="1">
        <v>29057</v>
      </c>
      <c r="F56" t="s">
        <v>21</v>
      </c>
      <c r="G56" t="s">
        <v>9</v>
      </c>
      <c r="H56" t="s">
        <v>10</v>
      </c>
      <c r="I56" t="s">
        <v>11</v>
      </c>
      <c r="J56" s="1">
        <v>55</v>
      </c>
    </row>
    <row r="57" spans="1:10" x14ac:dyDescent="0.25">
      <c r="A57" t="s">
        <v>68</v>
      </c>
      <c r="B57" s="5">
        <v>15</v>
      </c>
      <c r="C57" t="s">
        <v>155</v>
      </c>
      <c r="D57" t="s">
        <v>155</v>
      </c>
      <c r="E57" s="1">
        <v>29050</v>
      </c>
      <c r="F57" t="s">
        <v>12</v>
      </c>
      <c r="G57" t="s">
        <v>9</v>
      </c>
      <c r="H57" t="s">
        <v>10</v>
      </c>
      <c r="I57" t="s">
        <v>11</v>
      </c>
      <c r="J57" s="1">
        <v>56</v>
      </c>
    </row>
    <row r="58" spans="1:10" x14ac:dyDescent="0.25">
      <c r="A58" t="s">
        <v>41</v>
      </c>
      <c r="B58" s="5">
        <v>15</v>
      </c>
      <c r="C58" t="s">
        <v>155</v>
      </c>
      <c r="D58" t="s">
        <v>155</v>
      </c>
      <c r="E58" t="s">
        <v>155</v>
      </c>
      <c r="F58" t="s">
        <v>158</v>
      </c>
      <c r="G58" t="s">
        <v>9</v>
      </c>
      <c r="H58" t="s">
        <v>10</v>
      </c>
      <c r="I58" t="s">
        <v>11</v>
      </c>
      <c r="J58" s="1">
        <v>57</v>
      </c>
    </row>
    <row r="59" spans="1:10" x14ac:dyDescent="0.25">
      <c r="A59" t="s">
        <v>54</v>
      </c>
      <c r="B59" s="5">
        <v>15</v>
      </c>
      <c r="C59" t="s">
        <v>155</v>
      </c>
      <c r="D59" t="s">
        <v>155</v>
      </c>
      <c r="E59" s="1">
        <v>29050</v>
      </c>
      <c r="F59" t="s">
        <v>12</v>
      </c>
      <c r="G59" t="s">
        <v>9</v>
      </c>
      <c r="H59" t="s">
        <v>10</v>
      </c>
      <c r="I59" t="s">
        <v>11</v>
      </c>
      <c r="J59" s="1">
        <v>58</v>
      </c>
    </row>
    <row r="60" spans="1:10" x14ac:dyDescent="0.25">
      <c r="A60" t="s">
        <v>40</v>
      </c>
      <c r="B60" s="5">
        <v>15</v>
      </c>
      <c r="C60" t="s">
        <v>155</v>
      </c>
      <c r="D60" t="s">
        <v>155</v>
      </c>
      <c r="E60" s="1">
        <v>20050</v>
      </c>
      <c r="F60" t="s">
        <v>12</v>
      </c>
      <c r="G60" t="s">
        <v>9</v>
      </c>
      <c r="H60" t="s">
        <v>10</v>
      </c>
      <c r="I60" t="s">
        <v>11</v>
      </c>
      <c r="J60" s="1">
        <v>59</v>
      </c>
    </row>
    <row r="61" spans="1:10" x14ac:dyDescent="0.25">
      <c r="A61" t="s">
        <v>65</v>
      </c>
      <c r="B61" s="5">
        <v>15</v>
      </c>
      <c r="C61" t="s">
        <v>155</v>
      </c>
      <c r="D61" t="s">
        <v>155</v>
      </c>
      <c r="E61" s="1">
        <v>29050</v>
      </c>
      <c r="F61" t="s">
        <v>12</v>
      </c>
      <c r="G61" t="s">
        <v>9</v>
      </c>
      <c r="H61" t="s">
        <v>10</v>
      </c>
      <c r="I61" t="s">
        <v>11</v>
      </c>
      <c r="J61" s="1">
        <v>60</v>
      </c>
    </row>
    <row r="62" spans="1:10" x14ac:dyDescent="0.25">
      <c r="A62" t="s">
        <v>50</v>
      </c>
      <c r="B62" s="5">
        <v>15</v>
      </c>
      <c r="C62" t="s">
        <v>155</v>
      </c>
      <c r="D62" t="s">
        <v>155</v>
      </c>
      <c r="E62" s="1">
        <v>29057</v>
      </c>
      <c r="F62" t="s">
        <v>21</v>
      </c>
      <c r="G62" t="s">
        <v>9</v>
      </c>
      <c r="H62" t="s">
        <v>10</v>
      </c>
      <c r="I62" t="s">
        <v>11</v>
      </c>
      <c r="J62" s="1">
        <v>61</v>
      </c>
    </row>
    <row r="63" spans="1:10" x14ac:dyDescent="0.25">
      <c r="A63" t="s">
        <v>81</v>
      </c>
      <c r="B63" s="5">
        <v>15</v>
      </c>
      <c r="C63" t="s">
        <v>155</v>
      </c>
      <c r="D63" t="s">
        <v>155</v>
      </c>
      <c r="E63" s="1">
        <v>29057</v>
      </c>
      <c r="F63" t="s">
        <v>21</v>
      </c>
      <c r="G63" t="s">
        <v>9</v>
      </c>
      <c r="H63" t="s">
        <v>10</v>
      </c>
      <c r="I63" t="s">
        <v>11</v>
      </c>
      <c r="J63" s="1">
        <v>62</v>
      </c>
    </row>
    <row r="64" spans="1:10" x14ac:dyDescent="0.25">
      <c r="A64" t="s">
        <v>51</v>
      </c>
      <c r="B64" s="5">
        <v>15</v>
      </c>
      <c r="C64" t="s">
        <v>155</v>
      </c>
      <c r="D64" t="s">
        <v>155</v>
      </c>
      <c r="E64" s="1">
        <v>29050</v>
      </c>
      <c r="F64" t="s">
        <v>12</v>
      </c>
      <c r="G64" t="s">
        <v>9</v>
      </c>
      <c r="H64" t="s">
        <v>10</v>
      </c>
      <c r="I64" t="s">
        <v>11</v>
      </c>
      <c r="J64" s="1">
        <v>63</v>
      </c>
    </row>
    <row r="65" spans="1:10" x14ac:dyDescent="0.25">
      <c r="A65" t="s">
        <v>66</v>
      </c>
      <c r="B65" s="5">
        <v>15</v>
      </c>
      <c r="C65" t="s">
        <v>155</v>
      </c>
      <c r="D65" t="s">
        <v>155</v>
      </c>
      <c r="E65" s="1">
        <v>29057</v>
      </c>
      <c r="F65" t="s">
        <v>21</v>
      </c>
      <c r="G65" t="s">
        <v>9</v>
      </c>
      <c r="H65" t="s">
        <v>10</v>
      </c>
      <c r="I65" t="s">
        <v>11</v>
      </c>
      <c r="J65" s="1">
        <v>64</v>
      </c>
    </row>
    <row r="66" spans="1:10" x14ac:dyDescent="0.25">
      <c r="A66" t="s">
        <v>45</v>
      </c>
      <c r="B66" s="5">
        <v>15</v>
      </c>
      <c r="C66" t="s">
        <v>155</v>
      </c>
      <c r="D66" t="s">
        <v>155</v>
      </c>
      <c r="E66" s="1">
        <v>29050</v>
      </c>
      <c r="F66" t="s">
        <v>12</v>
      </c>
      <c r="G66" t="s">
        <v>9</v>
      </c>
      <c r="H66" t="s">
        <v>10</v>
      </c>
      <c r="I66" t="s">
        <v>11</v>
      </c>
      <c r="J66" s="1">
        <v>65</v>
      </c>
    </row>
    <row r="67" spans="1:10" x14ac:dyDescent="0.25">
      <c r="A67" t="s">
        <v>112</v>
      </c>
      <c r="B67" s="5">
        <v>15</v>
      </c>
      <c r="C67" t="s">
        <v>155</v>
      </c>
      <c r="D67" t="s">
        <v>155</v>
      </c>
      <c r="E67" s="1">
        <v>29050</v>
      </c>
      <c r="F67" t="s">
        <v>12</v>
      </c>
      <c r="G67" t="s">
        <v>9</v>
      </c>
      <c r="H67" t="s">
        <v>10</v>
      </c>
      <c r="I67" t="s">
        <v>11</v>
      </c>
      <c r="J67" s="1">
        <v>66</v>
      </c>
    </row>
    <row r="68" spans="1:10" x14ac:dyDescent="0.25">
      <c r="A68" t="s">
        <v>48</v>
      </c>
      <c r="B68" s="5">
        <v>13</v>
      </c>
      <c r="C68" t="s">
        <v>155</v>
      </c>
      <c r="D68" t="s">
        <v>155</v>
      </c>
      <c r="E68" s="1">
        <v>29057</v>
      </c>
      <c r="F68" t="s">
        <v>21</v>
      </c>
      <c r="G68" t="s">
        <v>9</v>
      </c>
      <c r="H68" t="s">
        <v>10</v>
      </c>
      <c r="I68" t="s">
        <v>11</v>
      </c>
      <c r="J68" s="1">
        <v>67</v>
      </c>
    </row>
    <row r="69" spans="1:10" x14ac:dyDescent="0.25">
      <c r="A69" t="s">
        <v>111</v>
      </c>
      <c r="B69" s="5">
        <v>15</v>
      </c>
      <c r="C69" t="s">
        <v>155</v>
      </c>
      <c r="D69" t="s">
        <v>155</v>
      </c>
      <c r="E69" s="1">
        <v>29050</v>
      </c>
      <c r="F69" t="s">
        <v>12</v>
      </c>
      <c r="G69" t="s">
        <v>9</v>
      </c>
      <c r="H69" t="s">
        <v>10</v>
      </c>
      <c r="I69" t="s">
        <v>11</v>
      </c>
      <c r="J69" s="1">
        <v>68</v>
      </c>
    </row>
    <row r="70" spans="1:10" x14ac:dyDescent="0.25">
      <c r="A70" t="s">
        <v>37</v>
      </c>
      <c r="B70" s="5">
        <v>15</v>
      </c>
      <c r="C70" t="s">
        <v>155</v>
      </c>
      <c r="D70" t="s">
        <v>155</v>
      </c>
      <c r="E70" s="1">
        <v>29050</v>
      </c>
      <c r="F70" t="s">
        <v>12</v>
      </c>
      <c r="G70" t="s">
        <v>9</v>
      </c>
      <c r="H70" t="s">
        <v>10</v>
      </c>
      <c r="I70" t="s">
        <v>11</v>
      </c>
      <c r="J70" s="1">
        <v>69</v>
      </c>
    </row>
    <row r="71" spans="1:10" x14ac:dyDescent="0.25">
      <c r="A71" t="s">
        <v>47</v>
      </c>
      <c r="B71" s="5">
        <v>15</v>
      </c>
      <c r="C71" t="s">
        <v>155</v>
      </c>
      <c r="D71" t="s">
        <v>155</v>
      </c>
      <c r="E71" s="1">
        <v>29050</v>
      </c>
      <c r="F71" t="s">
        <v>12</v>
      </c>
      <c r="G71" t="s">
        <v>9</v>
      </c>
      <c r="H71" t="s">
        <v>10</v>
      </c>
      <c r="I71" t="s">
        <v>11</v>
      </c>
      <c r="J71" s="1">
        <v>70</v>
      </c>
    </row>
    <row r="72" spans="1:10" x14ac:dyDescent="0.25">
      <c r="A72" t="s">
        <v>97</v>
      </c>
      <c r="B72" s="5">
        <v>15</v>
      </c>
      <c r="C72" t="s">
        <v>155</v>
      </c>
      <c r="D72" t="s">
        <v>155</v>
      </c>
      <c r="E72" s="1">
        <v>29050</v>
      </c>
      <c r="F72" t="s">
        <v>12</v>
      </c>
      <c r="G72" t="s">
        <v>9</v>
      </c>
      <c r="H72" t="s">
        <v>10</v>
      </c>
      <c r="I72" t="s">
        <v>11</v>
      </c>
      <c r="J72" s="1">
        <v>71</v>
      </c>
    </row>
    <row r="73" spans="1:10" x14ac:dyDescent="0.25">
      <c r="A73" t="s">
        <v>70</v>
      </c>
      <c r="B73" s="5">
        <v>15</v>
      </c>
      <c r="C73" t="s">
        <v>155</v>
      </c>
      <c r="D73" t="s">
        <v>155</v>
      </c>
      <c r="E73" s="1">
        <v>29057</v>
      </c>
      <c r="F73" t="s">
        <v>21</v>
      </c>
      <c r="G73" t="s">
        <v>9</v>
      </c>
      <c r="H73" t="s">
        <v>10</v>
      </c>
      <c r="I73" t="s">
        <v>11</v>
      </c>
      <c r="J73" s="1">
        <v>72</v>
      </c>
    </row>
    <row r="74" spans="1:10" x14ac:dyDescent="0.25">
      <c r="A74" t="s">
        <v>109</v>
      </c>
      <c r="B74" s="5">
        <v>15</v>
      </c>
      <c r="C74" t="s">
        <v>155</v>
      </c>
      <c r="D74" t="s">
        <v>155</v>
      </c>
      <c r="E74" s="1">
        <v>29057</v>
      </c>
      <c r="F74" t="s">
        <v>21</v>
      </c>
      <c r="G74" t="s">
        <v>9</v>
      </c>
      <c r="H74" t="s">
        <v>10</v>
      </c>
      <c r="I74" t="s">
        <v>11</v>
      </c>
      <c r="J74" s="1">
        <v>73</v>
      </c>
    </row>
    <row r="75" spans="1:10" x14ac:dyDescent="0.25">
      <c r="A75" t="s">
        <v>123</v>
      </c>
      <c r="B75" s="5">
        <v>15</v>
      </c>
      <c r="C75" t="s">
        <v>155</v>
      </c>
      <c r="D75" t="s">
        <v>155</v>
      </c>
      <c r="E75" s="1">
        <v>29050</v>
      </c>
      <c r="F75" t="s">
        <v>12</v>
      </c>
      <c r="G75" t="s">
        <v>9</v>
      </c>
      <c r="H75" t="s">
        <v>10</v>
      </c>
      <c r="I75" t="s">
        <v>11</v>
      </c>
      <c r="J75" s="1">
        <v>74</v>
      </c>
    </row>
    <row r="76" spans="1:10" x14ac:dyDescent="0.25">
      <c r="A76" t="s">
        <v>121</v>
      </c>
      <c r="B76" s="5">
        <v>15</v>
      </c>
      <c r="C76" t="s">
        <v>155</v>
      </c>
      <c r="D76" t="s">
        <v>155</v>
      </c>
      <c r="E76" s="1">
        <v>29050</v>
      </c>
      <c r="F76" t="s">
        <v>12</v>
      </c>
      <c r="G76" t="s">
        <v>9</v>
      </c>
      <c r="H76" t="s">
        <v>10</v>
      </c>
      <c r="I76" t="s">
        <v>11</v>
      </c>
      <c r="J76" s="1">
        <v>75</v>
      </c>
    </row>
    <row r="77" spans="1:10" x14ac:dyDescent="0.25">
      <c r="A77" t="s">
        <v>108</v>
      </c>
      <c r="B77" s="5">
        <v>15</v>
      </c>
      <c r="C77" t="s">
        <v>155</v>
      </c>
      <c r="D77" t="s">
        <v>155</v>
      </c>
      <c r="E77" s="1">
        <v>29057</v>
      </c>
      <c r="F77" t="s">
        <v>21</v>
      </c>
      <c r="G77" t="s">
        <v>9</v>
      </c>
      <c r="H77" t="s">
        <v>10</v>
      </c>
      <c r="I77" t="s">
        <v>11</v>
      </c>
      <c r="J77" s="1">
        <v>76</v>
      </c>
    </row>
    <row r="78" spans="1:10" x14ac:dyDescent="0.25">
      <c r="A78" t="s">
        <v>107</v>
      </c>
      <c r="B78" s="5">
        <v>15</v>
      </c>
      <c r="C78" t="s">
        <v>155</v>
      </c>
      <c r="D78" t="s">
        <v>155</v>
      </c>
      <c r="E78" s="1">
        <v>20050</v>
      </c>
      <c r="F78" t="s">
        <v>12</v>
      </c>
      <c r="G78" t="s">
        <v>9</v>
      </c>
      <c r="H78" t="s">
        <v>10</v>
      </c>
      <c r="I78" t="s">
        <v>11</v>
      </c>
      <c r="J78" s="1">
        <v>77</v>
      </c>
    </row>
    <row r="79" spans="1:10" x14ac:dyDescent="0.25">
      <c r="A79" t="s">
        <v>120</v>
      </c>
      <c r="B79" s="5">
        <v>15</v>
      </c>
      <c r="C79" t="s">
        <v>155</v>
      </c>
      <c r="D79" t="s">
        <v>155</v>
      </c>
      <c r="E79" s="1">
        <v>29057</v>
      </c>
      <c r="F79" t="s">
        <v>21</v>
      </c>
      <c r="G79" t="s">
        <v>9</v>
      </c>
      <c r="H79" t="s">
        <v>10</v>
      </c>
      <c r="I79" t="s">
        <v>11</v>
      </c>
      <c r="J79" s="1">
        <v>78</v>
      </c>
    </row>
    <row r="80" spans="1:10" x14ac:dyDescent="0.25">
      <c r="A80" t="s">
        <v>119</v>
      </c>
      <c r="B80" s="5">
        <v>15</v>
      </c>
      <c r="C80" t="s">
        <v>155</v>
      </c>
      <c r="D80" t="s">
        <v>155</v>
      </c>
      <c r="E80" s="1">
        <v>29050</v>
      </c>
      <c r="F80" t="s">
        <v>12</v>
      </c>
      <c r="G80" t="s">
        <v>9</v>
      </c>
      <c r="H80" t="s">
        <v>10</v>
      </c>
      <c r="I80" t="s">
        <v>11</v>
      </c>
      <c r="J80" s="1">
        <v>79</v>
      </c>
    </row>
    <row r="81" spans="1:10" x14ac:dyDescent="0.25">
      <c r="A81" t="s">
        <v>103</v>
      </c>
      <c r="B81" s="5">
        <v>15</v>
      </c>
      <c r="C81" t="s">
        <v>155</v>
      </c>
      <c r="D81" t="s">
        <v>155</v>
      </c>
      <c r="E81" s="1">
        <v>29057</v>
      </c>
      <c r="F81" t="s">
        <v>21</v>
      </c>
      <c r="G81" t="s">
        <v>9</v>
      </c>
      <c r="H81" t="s">
        <v>10</v>
      </c>
      <c r="I81" t="s">
        <v>11</v>
      </c>
      <c r="J81" s="1">
        <v>80</v>
      </c>
    </row>
    <row r="82" spans="1:10" x14ac:dyDescent="0.25">
      <c r="A82" t="s">
        <v>106</v>
      </c>
      <c r="B82" s="5">
        <v>15</v>
      </c>
      <c r="C82" t="s">
        <v>155</v>
      </c>
      <c r="D82" t="s">
        <v>155</v>
      </c>
      <c r="E82" s="1">
        <v>29057</v>
      </c>
      <c r="F82" t="s">
        <v>21</v>
      </c>
      <c r="G82" t="s">
        <v>9</v>
      </c>
      <c r="H82" t="s">
        <v>10</v>
      </c>
      <c r="I82" t="s">
        <v>11</v>
      </c>
      <c r="J82" s="1">
        <v>81</v>
      </c>
    </row>
    <row r="83" spans="1:10" x14ac:dyDescent="0.25">
      <c r="A83" t="s">
        <v>125</v>
      </c>
      <c r="B83" s="5">
        <v>15</v>
      </c>
      <c r="C83" t="s">
        <v>155</v>
      </c>
      <c r="D83" t="s">
        <v>155</v>
      </c>
      <c r="E83" s="1">
        <v>29057</v>
      </c>
      <c r="F83" t="s">
        <v>21</v>
      </c>
      <c r="G83" t="s">
        <v>9</v>
      </c>
      <c r="H83" t="s">
        <v>10</v>
      </c>
      <c r="I83" t="s">
        <v>11</v>
      </c>
      <c r="J83" s="1">
        <v>82</v>
      </c>
    </row>
    <row r="84" spans="1:10" x14ac:dyDescent="0.25">
      <c r="A84" t="s">
        <v>105</v>
      </c>
      <c r="B84" s="5">
        <v>15</v>
      </c>
      <c r="C84" t="s">
        <v>155</v>
      </c>
      <c r="D84" t="s">
        <v>155</v>
      </c>
      <c r="E84" s="1">
        <v>29050</v>
      </c>
      <c r="F84" t="s">
        <v>12</v>
      </c>
      <c r="G84" t="s">
        <v>9</v>
      </c>
      <c r="H84" t="s">
        <v>10</v>
      </c>
      <c r="I84" t="s">
        <v>11</v>
      </c>
      <c r="J84" s="1">
        <v>83</v>
      </c>
    </row>
  </sheetData>
  <sortState xmlns:xlrd2="http://schemas.microsoft.com/office/spreadsheetml/2017/richdata2" ref="A2:J84">
    <sortCondition ref="A1:A8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BC1D0-DC47-4250-AD3F-4105F1DFDE4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REGISTRO VENTA</vt:lpstr>
      <vt:lpstr>VENTAS</vt:lpstr>
      <vt:lpstr>CLIENTES</vt:lpstr>
      <vt:lpstr>REG CLIENTE</vt:lpstr>
      <vt:lpstr>CLIENTES</vt:lpstr>
      <vt:lpstr>Nombre</vt:lpstr>
      <vt:lpstr>Nombres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Morales</dc:creator>
  <cp:lastModifiedBy>Roberto Morales</cp:lastModifiedBy>
  <dcterms:created xsi:type="dcterms:W3CDTF">2021-08-29T22:10:52Z</dcterms:created>
  <dcterms:modified xsi:type="dcterms:W3CDTF">2021-10-03T21:25:57Z</dcterms:modified>
</cp:coreProperties>
</file>